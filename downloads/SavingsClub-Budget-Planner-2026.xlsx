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onthly Budget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<sst xmlns="http://schemas.openxmlformats.org/spreadsheetml/2006/main" count="119" uniqueCount="81">
  <si>
    <t xml:space="preserve">  SavingsClub 2026 Monthly Budget Planner</t>
  </si>
  <si>
    <t xml:space="preserve">Helping you keep more of what you earn  ·  savingsclub.com</t>
  </si>
  <si>
    <t xml:space="preserve">How to use this planner</t>
  </si>
  <si>
    <t xml:space="preserve">1.  Open the Monthly Budget tab. Type your own numbers into the light green cells.</t>
  </si>
  <si>
    <t xml:space="preserve">2.  The sample numbers are just examples. Type right over them.</t>
  </si>
  <si>
    <t xml:space="preserve">3.  Fill in Budgeted (your plan) and Actual (what really happened) for each line.</t>
  </si>
  <si>
    <t xml:space="preserve">4.  The Dashboard tab updates on its own. No math needed from you.</t>
  </si>
  <si>
    <t xml:space="preserve">What the colors mean</t>
  </si>
  <si>
    <t xml:space="preserve">GREEN means good. You came in under budget, or you are hitting your savings target.</t>
  </si>
  <si>
    <t xml:space="preserve">RED means watch out. You spent more than you planned, or a category is over target.</t>
  </si>
  <si>
    <t xml:space="preserve">The Difference column and the Dashboard change color automatically as you type.</t>
  </si>
  <si>
    <t xml:space="preserve">The 50 / 30 / 20 rule (built into your Dashboard)</t>
  </si>
  <si>
    <t xml:space="preserve">A simple, proven split of your take-home pay: 50% to Needs, 30% to Wants, 20% to Savings and debt.</t>
  </si>
  <si>
    <t xml:space="preserve">Tag each expense as Need, Want, or Save using the dropdown. The Dashboard does the rest.</t>
  </si>
  <si>
    <t xml:space="preserve">Why we built this</t>
  </si>
  <si>
    <t xml:space="preserve">A budget only works when you can see it. This planner turns your real numbers into a clear picture in seconds, so you keep more of what you earn instead of wondering where it went.</t>
  </si>
  <si>
    <t xml:space="preserve">  Made by the SavingsClub Research Team  ·  Free forever  ·  savingsclub.com  </t>
  </si>
  <si>
    <t xml:space="preserve">SavingsClub  |  2026 Monthly Budget Planner</t>
  </si>
  <si>
    <t xml:space="preserve">Month:  ______________</t>
  </si>
  <si>
    <t xml:space="preserve">INCOME</t>
  </si>
  <si>
    <t xml:space="preserve">Source</t>
  </si>
  <si>
    <t xml:space="preserve">Expected</t>
  </si>
  <si>
    <t xml:space="preserve">Received</t>
  </si>
  <si>
    <t xml:space="preserve">Difference</t>
  </si>
  <si>
    <t xml:space="preserve">Primary take-home pay</t>
  </si>
  <si>
    <t xml:space="preserve">Side income / second job</t>
  </si>
  <si>
    <t xml:space="preserve">Other income</t>
  </si>
  <si>
    <t xml:space="preserve">Total income</t>
  </si>
  <si>
    <t xml:space="preserve">FIXED EXPENSES</t>
  </si>
  <si>
    <t xml:space="preserve">Category</t>
  </si>
  <si>
    <t xml:space="preserve">Type</t>
  </si>
  <si>
    <t xml:space="preserve">Budgeted</t>
  </si>
  <si>
    <t xml:space="preserve">Actual</t>
  </si>
  <si>
    <t xml:space="preserve">Rent / Mortgage</t>
  </si>
  <si>
    <t xml:space="preserve">Need</t>
  </si>
  <si>
    <t xml:space="preserve">Utilities (power, water, gas)</t>
  </si>
  <si>
    <t xml:space="preserve">Insurance (health, auto, home)</t>
  </si>
  <si>
    <t xml:space="preserve">Phone / Internet</t>
  </si>
  <si>
    <t xml:space="preserve">Car payment</t>
  </si>
  <si>
    <t xml:space="preserve">Subscriptions / memberships</t>
  </si>
  <si>
    <t xml:space="preserve">Want</t>
  </si>
  <si>
    <t xml:space="preserve">Childcare</t>
  </si>
  <si>
    <t xml:space="preserve">Other fixed</t>
  </si>
  <si>
    <t xml:space="preserve">Total fixed expenses</t>
  </si>
  <si>
    <t xml:space="preserve">VARIABLE EXPENSES</t>
  </si>
  <si>
    <t xml:space="preserve">Groceries</t>
  </si>
  <si>
    <t xml:space="preserve">Gas / Transit</t>
  </si>
  <si>
    <t xml:space="preserve">Dining out</t>
  </si>
  <si>
    <t xml:space="preserve">Entertainment</t>
  </si>
  <si>
    <t xml:space="preserve">Shopping / clothing</t>
  </si>
  <si>
    <t xml:space="preserve">Health / Medical</t>
  </si>
  <si>
    <t xml:space="preserve">Personal care</t>
  </si>
  <si>
    <t xml:space="preserve">Other variable</t>
  </si>
  <si>
    <t xml:space="preserve">Total variable expenses</t>
  </si>
  <si>
    <t xml:space="preserve">SAVINGS &amp; GOALS</t>
  </si>
  <si>
    <t xml:space="preserve">Emergency fund</t>
  </si>
  <si>
    <t xml:space="preserve">Save</t>
  </si>
  <si>
    <t xml:space="preserve">Retirement / 401(k)</t>
  </si>
  <si>
    <t xml:space="preserve">Investments</t>
  </si>
  <si>
    <t xml:space="preserve">Specific savings goal</t>
  </si>
  <si>
    <t xml:space="preserve">Total savings</t>
  </si>
  <si>
    <t xml:space="preserve">DEBT PAYOFF (beyond minimums)</t>
  </si>
  <si>
    <t xml:space="preserve">Credit cards</t>
  </si>
  <si>
    <t xml:space="preserve">Student loans</t>
  </si>
  <si>
    <t xml:space="preserve">Other debt</t>
  </si>
  <si>
    <t xml:space="preserve">Total debt payoff</t>
  </si>
  <si>
    <t xml:space="preserve">MONEY LEFT OVER (Actual)</t>
  </si>
  <si>
    <t xml:space="preserve">Your Money at a Glance</t>
  </si>
  <si>
    <t xml:space="preserve">Auto-updates as you fill in the Monthly Budget tab</t>
  </si>
  <si>
    <t xml:space="preserve">Total money out</t>
  </si>
  <si>
    <t xml:space="preserve">Left over</t>
  </si>
  <si>
    <t xml:space="preserve">Savings + debt payoff rate</t>
  </si>
  <si>
    <t xml:space="preserve">The 50 / 30 / 20 Check</t>
  </si>
  <si>
    <t xml:space="preserve">Bucket</t>
  </si>
  <si>
    <t xml:space="preserve">Your amount</t>
  </si>
  <si>
    <t xml:space="preserve">Your %</t>
  </si>
  <si>
    <t xml:space="preserve">Target</t>
  </si>
  <si>
    <t xml:space="preserve">Needs (must-haves)</t>
  </si>
  <si>
    <t xml:space="preserve">Wants (nice-to-haves)</t>
  </si>
  <si>
    <t xml:space="preserve">Savings + debt</t>
  </si>
  <si>
    <t xml:space="preserve">Want to go deeper? Use our free calculators to plan your debt payoff, retirement, and take-home pay at savingsclub.com. Keep more of what you earn.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</si>
</sst>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4"/>
      <color rgb="FF047857"/>
      <name val="Arial"/>
      <family val="0"/>
      <charset val="1"/>
    </font>
    <font>
      <sz val="11"/>
      <color rgb="FF0A1628"/>
      <name val="Arial"/>
      <family val="0"/>
      <charset val="1"/>
    </font>
    <font>
      <b val="true"/>
      <sz val="11"/>
      <color rgb="FF0A162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334155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1"/>
      <color rgb="FF047857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b val="true"/>
      <sz val="20"/>
      <color rgb="FF0A1628"/>
      <name val="Arial"/>
      <family val="0"/>
      <charset val="1"/>
    </font>
    <font>
      <sz val="11"/>
      <color rgb="FF64748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A1628"/>
        <bgColor rgb="FF0F2540"/>
      </patternFill>
    </fill>
    <fill>
      <patternFill patternType="solid">
        <fgColor rgb="FF0F2540"/>
        <bgColor rgb="FF0A1628"/>
      </patternFill>
    </fill>
    <fill>
      <patternFill patternType="solid">
        <fgColor rgb="FFD1FAE5"/>
        <bgColor rgb="FFECFDF5"/>
      </patternFill>
    </fill>
    <fill>
      <patternFill patternType="solid">
        <fgColor rgb="FFFEE2E2"/>
        <bgColor rgb="FFE2E8F0"/>
      </patternFill>
    </fill>
    <fill>
      <patternFill patternType="solid">
        <fgColor rgb="FF059669"/>
        <bgColor rgb="FF047857"/>
      </patternFill>
    </fill>
    <fill>
      <patternFill patternType="solid">
        <fgColor rgb="FFF8FAFC"/>
        <bgColor rgb="FFFFFFFF"/>
      </patternFill>
    </fill>
    <fill>
      <patternFill patternType="solid">
        <fgColor rgb="FFECFDF5"/>
        <bgColor rgb="FFF8FAFC"/>
      </patternFill>
    </fill>
    <fill>
      <patternFill patternType="solid">
        <fgColor rgb="FF047857"/>
        <bgColor rgb="FF05966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5" fillId="3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7" fillId="5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9" fillId="6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3" borderId="0" xfId="0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4" fontId="12" fillId="6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6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tru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DC2626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047857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C2626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59669"/>
        </patternFill>
      </fill>
    </dxf>
    <dxf>
      <font>
        <name val="Arial"/>
        <charset val="1"/>
        <family val="0"/>
        <b val="1"/>
        <color rgb="FFDC2626"/>
        <sz val="2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047857"/>
        <sz val="20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047857"/>
        <sz val="14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DC2626"/>
        <sz val="14"/>
      </font>
      <fill>
        <patternFill>
          <bgColor rgb="FFFEE2E2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8FAFC"/>
      <rgbColor rgb="FFECF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2E8F0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F2540"/>
      <rgbColor rgb="FF339966"/>
      <rgbColor rgb="FF0A1628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6"/>
    <col collapsed="false" customWidth="true" hidden="false" outlineLevel="0" max="3" min="3" style="1" width="4"/>
  </cols>
  <sheetData>
    <row r="1" customFormat="false" ht="45.75" hidden="false" customHeight="true" outlineLevel="0" collapsed="false">
      <c r="B1" s="2" t="s">
        <v>0</v>
      </c>
    </row>
    <row r="2" customFormat="false" ht="21.75" hidden="false" customHeight="true" outlineLevel="0" collapsed="false">
      <c r="B2" s="3" t="s">
        <v>1</v>
      </c>
    </row>
    <row r="4" customFormat="false" ht="17.35" hidden="false" customHeight="false" outlineLevel="0" collapsed="false">
      <c r="B4" s="4" t="s">
        <v>2</v>
      </c>
    </row>
    <row r="5" customFormat="false" ht="19.5" hidden="false" customHeight="true" outlineLevel="0" collapsed="false">
      <c r="B5" s="5" t="s">
        <v>3</v>
      </c>
    </row>
    <row r="6" customFormat="false" ht="19.5" hidden="false" customHeight="true" outlineLevel="0" collapsed="false">
      <c r="B6" s="5" t="s">
        <v>4</v>
      </c>
    </row>
    <row r="7" customFormat="false" ht="19.5" hidden="false" customHeight="true" outlineLevel="0" collapsed="false">
      <c r="B7" s="5" t="s">
        <v>5</v>
      </c>
    </row>
    <row r="8" customFormat="false" ht="19.5" hidden="false" customHeight="true" outlineLevel="0" collapsed="false">
      <c r="B8" s="5" t="s">
        <v>6</v>
      </c>
    </row>
    <row r="10" customFormat="false" ht="17.35" hidden="false" customHeight="false" outlineLevel="0" collapsed="false">
      <c r="B10" s="4" t="s">
        <v>7</v>
      </c>
    </row>
    <row r="11" customFormat="false" ht="26.85" hidden="false" customHeight="false" outlineLevel="0" collapsed="false">
      <c r="B11" s="6" t="s">
        <v>8</v>
      </c>
    </row>
    <row r="12" customFormat="false" ht="15" hidden="false" customHeight="false" outlineLevel="0" collapsed="false">
      <c r="B12" s="7" t="s">
        <v>9</v>
      </c>
    </row>
    <row r="13" customFormat="false" ht="19.5" hidden="false" customHeight="true" outlineLevel="0" collapsed="false">
      <c r="B13" s="5" t="s">
        <v>10</v>
      </c>
    </row>
    <row r="15" customFormat="false" ht="17.35" hidden="false" customHeight="false" outlineLevel="0" collapsed="false">
      <c r="B15" s="4" t="s">
        <v>11</v>
      </c>
    </row>
    <row r="16" customFormat="false" ht="19.5" hidden="false" customHeight="true" outlineLevel="0" collapsed="false">
      <c r="B16" s="5" t="s">
        <v>12</v>
      </c>
    </row>
    <row r="17" customFormat="false" ht="19.5" hidden="false" customHeight="true" outlineLevel="0" collapsed="false">
      <c r="B17" s="5" t="s">
        <v>13</v>
      </c>
    </row>
    <row r="19" customFormat="false" ht="17.35" hidden="false" customHeight="false" outlineLevel="0" collapsed="false">
      <c r="B19" s="4" t="s">
        <v>14</v>
      </c>
    </row>
    <row r="20" customFormat="false" ht="33.75" hidden="false" customHeight="true" outlineLevel="0" collapsed="false">
      <c r="B20" s="5" t="s">
        <v>15</v>
      </c>
    </row>
    <row r="22" customFormat="false" ht="25.5" hidden="false" customHeight="true" outlineLevel="0" collapsed="false">
      <c r="B22" s="8" t="s">
        <v>16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3"/>
    <col collapsed="false" customWidth="true" hidden="false" outlineLevel="0" max="5" min="3" style="1" width="15"/>
  </cols>
  <sheetData>
    <row r="1" customFormat="false" ht="39.75" hidden="false" customHeight="true" outlineLevel="0" collapsed="false">
      <c r="A1" s="9" t="s">
        <v>17</v>
      </c>
      <c r="B1" s="9"/>
      <c r="C1" s="9"/>
      <c r="D1" s="9"/>
      <c r="E1" s="9"/>
    </row>
    <row r="2" customFormat="false" ht="21.75" hidden="false" customHeight="true" outlineLevel="0" collapsed="false">
      <c r="A2" s="10" t="s">
        <v>1</v>
      </c>
      <c r="B2" s="10"/>
      <c r="C2" s="10"/>
      <c r="D2" s="11" t="s">
        <v>18</v>
      </c>
      <c r="E2" s="11"/>
    </row>
    <row r="4" customFormat="false" ht="25.5" hidden="false" customHeight="true" outlineLevel="0" collapsed="false">
      <c r="A4" s="12" t="s">
        <v>19</v>
      </c>
      <c r="B4" s="12"/>
      <c r="C4" s="12"/>
      <c r="D4" s="12"/>
      <c r="E4" s="12"/>
    </row>
    <row r="5" customFormat="false" ht="15" hidden="false" customHeight="false" outlineLevel="0" collapsed="false">
      <c r="A5" s="13" t="s">
        <v>20</v>
      </c>
      <c r="B5" s="14"/>
      <c r="C5" s="14" t="s">
        <v>21</v>
      </c>
      <c r="D5" s="14" t="s">
        <v>22</v>
      </c>
      <c r="E5" s="14" t="s">
        <v>23</v>
      </c>
    </row>
    <row r="6" customFormat="false" ht="15" hidden="false" customHeight="false" outlineLevel="0" collapsed="false">
      <c r="A6" s="15" t="s">
        <v>24</v>
      </c>
      <c r="B6" s="16"/>
      <c r="C6" s="17" t="n">
        <v>4200</v>
      </c>
      <c r="D6" s="17" t="n">
        <v>4200</v>
      </c>
      <c r="E6" s="18" t="n">
        <f aca="false">D6-C6</f>
        <v>0</v>
      </c>
    </row>
    <row r="7" customFormat="false" ht="15" hidden="false" customHeight="false" outlineLevel="0" collapsed="false">
      <c r="A7" s="15" t="s">
        <v>25</v>
      </c>
      <c r="B7" s="16"/>
      <c r="C7" s="17" t="n">
        <v>600</v>
      </c>
      <c r="D7" s="17" t="n">
        <v>720</v>
      </c>
      <c r="E7" s="18" t="n">
        <f aca="false">D7-C7</f>
        <v>120</v>
      </c>
    </row>
    <row r="8" customFormat="false" ht="15" hidden="false" customHeight="false" outlineLevel="0" collapsed="false">
      <c r="A8" s="15" t="s">
        <v>26</v>
      </c>
      <c r="B8" s="16"/>
      <c r="C8" s="17" t="n">
        <v>0</v>
      </c>
      <c r="D8" s="17" t="n">
        <v>0</v>
      </c>
      <c r="E8" s="18" t="n">
        <f aca="false">D8-C8</f>
        <v>0</v>
      </c>
    </row>
    <row r="9" customFormat="false" ht="15" hidden="false" customHeight="false" outlineLevel="0" collapsed="false">
      <c r="A9" s="19" t="s">
        <v>27</v>
      </c>
      <c r="B9" s="20"/>
      <c r="C9" s="21" t="n">
        <f aca="false">SUM(C6:C8)</f>
        <v>4800</v>
      </c>
      <c r="D9" s="22" t="n">
        <f aca="false">SUM(D6:D8)</f>
        <v>4920</v>
      </c>
      <c r="E9" s="20"/>
    </row>
    <row r="11" customFormat="false" ht="25.5" hidden="false" customHeight="true" outlineLevel="0" collapsed="false">
      <c r="A11" s="12" t="s">
        <v>28</v>
      </c>
      <c r="B11" s="12"/>
      <c r="C11" s="12"/>
      <c r="D11" s="12"/>
      <c r="E11" s="12"/>
    </row>
    <row r="12" customFormat="false" ht="15" hidden="false" customHeight="false" outlineLevel="0" collapsed="false">
      <c r="A12" s="13" t="s">
        <v>29</v>
      </c>
      <c r="B12" s="14" t="s">
        <v>30</v>
      </c>
      <c r="C12" s="14" t="s">
        <v>31</v>
      </c>
      <c r="D12" s="14" t="s">
        <v>32</v>
      </c>
      <c r="E12" s="14" t="s">
        <v>23</v>
      </c>
    </row>
    <row r="13" customFormat="false" ht="15" hidden="false" customHeight="false" outlineLevel="0" collapsed="false">
      <c r="A13" s="15" t="s">
        <v>33</v>
      </c>
      <c r="B13" s="16" t="s">
        <v>34</v>
      </c>
      <c r="C13" s="17" t="n">
        <v>1400</v>
      </c>
      <c r="D13" s="17" t="n">
        <v>1400</v>
      </c>
      <c r="E13" s="18" t="n">
        <f aca="false">D13-C13</f>
        <v>0</v>
      </c>
    </row>
    <row r="14" customFormat="false" ht="15" hidden="false" customHeight="false" outlineLevel="0" collapsed="false">
      <c r="A14" s="15" t="s">
        <v>35</v>
      </c>
      <c r="B14" s="16" t="s">
        <v>34</v>
      </c>
      <c r="C14" s="17" t="n">
        <v>180</v>
      </c>
      <c r="D14" s="17" t="n">
        <v>205</v>
      </c>
      <c r="E14" s="18" t="n">
        <f aca="false">D14-C14</f>
        <v>25</v>
      </c>
    </row>
    <row r="15" customFormat="false" ht="15" hidden="false" customHeight="false" outlineLevel="0" collapsed="false">
      <c r="A15" s="15" t="s">
        <v>36</v>
      </c>
      <c r="B15" s="16" t="s">
        <v>34</v>
      </c>
      <c r="C15" s="17" t="n">
        <v>240</v>
      </c>
      <c r="D15" s="17" t="n">
        <v>240</v>
      </c>
      <c r="E15" s="18" t="n">
        <f aca="false">D15-C15</f>
        <v>0</v>
      </c>
    </row>
    <row r="16" customFormat="false" ht="15" hidden="false" customHeight="false" outlineLevel="0" collapsed="false">
      <c r="A16" s="15" t="s">
        <v>37</v>
      </c>
      <c r="B16" s="16" t="s">
        <v>34</v>
      </c>
      <c r="C16" s="17" t="n">
        <v>120</v>
      </c>
      <c r="D16" s="17" t="n">
        <v>120</v>
      </c>
      <c r="E16" s="18" t="n">
        <f aca="false">D16-C16</f>
        <v>0</v>
      </c>
    </row>
    <row r="17" customFormat="false" ht="15" hidden="false" customHeight="false" outlineLevel="0" collapsed="false">
      <c r="A17" s="15" t="s">
        <v>38</v>
      </c>
      <c r="B17" s="16" t="s">
        <v>34</v>
      </c>
      <c r="C17" s="17" t="n">
        <v>320</v>
      </c>
      <c r="D17" s="17" t="n">
        <v>320</v>
      </c>
      <c r="E17" s="18" t="n">
        <f aca="false">D17-C17</f>
        <v>0</v>
      </c>
    </row>
    <row r="18" customFormat="false" ht="15" hidden="false" customHeight="false" outlineLevel="0" collapsed="false">
      <c r="A18" s="15" t="s">
        <v>39</v>
      </c>
      <c r="B18" s="16" t="s">
        <v>40</v>
      </c>
      <c r="C18" s="17" t="n">
        <v>55</v>
      </c>
      <c r="D18" s="17" t="n">
        <v>72</v>
      </c>
      <c r="E18" s="18" t="n">
        <f aca="false">D18-C18</f>
        <v>17</v>
      </c>
    </row>
    <row r="19" customFormat="false" ht="15" hidden="false" customHeight="false" outlineLevel="0" collapsed="false">
      <c r="A19" s="15" t="s">
        <v>41</v>
      </c>
      <c r="B19" s="16" t="s">
        <v>34</v>
      </c>
      <c r="C19" s="17" t="n">
        <v>0</v>
      </c>
      <c r="D19" s="17" t="n">
        <v>0</v>
      </c>
      <c r="E19" s="18" t="n">
        <f aca="false">D19-C19</f>
        <v>0</v>
      </c>
    </row>
    <row r="20" customFormat="false" ht="15" hidden="false" customHeight="false" outlineLevel="0" collapsed="false">
      <c r="A20" s="15" t="s">
        <v>42</v>
      </c>
      <c r="B20" s="16" t="s">
        <v>34</v>
      </c>
      <c r="C20" s="17" t="n">
        <v>0</v>
      </c>
      <c r="D20" s="17" t="n">
        <v>0</v>
      </c>
      <c r="E20" s="18" t="n">
        <f aca="false">D20-C20</f>
        <v>0</v>
      </c>
    </row>
    <row r="21" customFormat="false" ht="15" hidden="false" customHeight="false" outlineLevel="0" collapsed="false">
      <c r="A21" s="19" t="s">
        <v>43</v>
      </c>
      <c r="B21" s="20"/>
      <c r="C21" s="21" t="n">
        <f aca="false">SUM(C13:C20)</f>
        <v>2315</v>
      </c>
      <c r="D21" s="22" t="n">
        <f aca="false">SUM(D13:D20)</f>
        <v>2357</v>
      </c>
      <c r="E21" s="20"/>
    </row>
    <row r="23" customFormat="false" ht="25.5" hidden="false" customHeight="true" outlineLevel="0" collapsed="false">
      <c r="A23" s="12" t="s">
        <v>44</v>
      </c>
      <c r="B23" s="12"/>
      <c r="C23" s="12"/>
      <c r="D23" s="12"/>
      <c r="E23" s="12"/>
    </row>
    <row r="24" customFormat="false" ht="15" hidden="false" customHeight="false" outlineLevel="0" collapsed="false">
      <c r="A24" s="13" t="s">
        <v>29</v>
      </c>
      <c r="B24" s="14" t="s">
        <v>30</v>
      </c>
      <c r="C24" s="14" t="s">
        <v>31</v>
      </c>
      <c r="D24" s="14" t="s">
        <v>32</v>
      </c>
      <c r="E24" s="14" t="s">
        <v>23</v>
      </c>
    </row>
    <row r="25" customFormat="false" ht="15" hidden="false" customHeight="false" outlineLevel="0" collapsed="false">
      <c r="A25" s="15" t="s">
        <v>45</v>
      </c>
      <c r="B25" s="16" t="s">
        <v>34</v>
      </c>
      <c r="C25" s="17" t="n">
        <v>520</v>
      </c>
      <c r="D25" s="17" t="n">
        <v>540</v>
      </c>
      <c r="E25" s="18" t="n">
        <f aca="false">D25-C25</f>
        <v>20</v>
      </c>
    </row>
    <row r="26" customFormat="false" ht="15" hidden="false" customHeight="false" outlineLevel="0" collapsed="false">
      <c r="A26" s="15" t="s">
        <v>46</v>
      </c>
      <c r="B26" s="16" t="s">
        <v>34</v>
      </c>
      <c r="C26" s="17" t="n">
        <v>160</v>
      </c>
      <c r="D26" s="17" t="n">
        <v>175</v>
      </c>
      <c r="E26" s="18" t="n">
        <f aca="false">D26-C26</f>
        <v>15</v>
      </c>
    </row>
    <row r="27" customFormat="false" ht="15" hidden="false" customHeight="false" outlineLevel="0" collapsed="false">
      <c r="A27" s="15" t="s">
        <v>47</v>
      </c>
      <c r="B27" s="16" t="s">
        <v>40</v>
      </c>
      <c r="C27" s="17" t="n">
        <v>180</v>
      </c>
      <c r="D27" s="17" t="n">
        <v>240</v>
      </c>
      <c r="E27" s="18" t="n">
        <f aca="false">D27-C27</f>
        <v>60</v>
      </c>
    </row>
    <row r="28" customFormat="false" ht="15" hidden="false" customHeight="false" outlineLevel="0" collapsed="false">
      <c r="A28" s="15" t="s">
        <v>48</v>
      </c>
      <c r="B28" s="16" t="s">
        <v>40</v>
      </c>
      <c r="C28" s="17" t="n">
        <v>90</v>
      </c>
      <c r="D28" s="17" t="n">
        <v>110</v>
      </c>
      <c r="E28" s="18" t="n">
        <f aca="false">D28-C28</f>
        <v>20</v>
      </c>
    </row>
    <row r="29" customFormat="false" ht="15" hidden="false" customHeight="false" outlineLevel="0" collapsed="false">
      <c r="A29" s="15" t="s">
        <v>49</v>
      </c>
      <c r="B29" s="16" t="s">
        <v>40</v>
      </c>
      <c r="C29" s="17" t="n">
        <v>120</v>
      </c>
      <c r="D29" s="17" t="n">
        <v>95</v>
      </c>
      <c r="E29" s="18" t="n">
        <f aca="false">D29-C29</f>
        <v>-25</v>
      </c>
    </row>
    <row r="30" customFormat="false" ht="15" hidden="false" customHeight="false" outlineLevel="0" collapsed="false">
      <c r="A30" s="15" t="s">
        <v>50</v>
      </c>
      <c r="B30" s="16" t="s">
        <v>34</v>
      </c>
      <c r="C30" s="17" t="n">
        <v>60</v>
      </c>
      <c r="D30" s="17" t="n">
        <v>45</v>
      </c>
      <c r="E30" s="18" t="n">
        <f aca="false">D30-C30</f>
        <v>-15</v>
      </c>
    </row>
    <row r="31" customFormat="false" ht="15" hidden="false" customHeight="false" outlineLevel="0" collapsed="false">
      <c r="A31" s="15" t="s">
        <v>51</v>
      </c>
      <c r="B31" s="16" t="s">
        <v>40</v>
      </c>
      <c r="C31" s="17" t="n">
        <v>50</v>
      </c>
      <c r="D31" s="17" t="n">
        <v>50</v>
      </c>
      <c r="E31" s="18" t="n">
        <f aca="false">D31-C31</f>
        <v>0</v>
      </c>
    </row>
    <row r="32" customFormat="false" ht="15" hidden="false" customHeight="false" outlineLevel="0" collapsed="false">
      <c r="A32" s="15" t="s">
        <v>52</v>
      </c>
      <c r="B32" s="16" t="s">
        <v>40</v>
      </c>
      <c r="C32" s="17" t="n">
        <v>0</v>
      </c>
      <c r="D32" s="17" t="n">
        <v>0</v>
      </c>
      <c r="E32" s="18" t="n">
        <f aca="false">D32-C32</f>
        <v>0</v>
      </c>
    </row>
    <row r="33" customFormat="false" ht="15" hidden="false" customHeight="false" outlineLevel="0" collapsed="false">
      <c r="A33" s="19" t="s">
        <v>53</v>
      </c>
      <c r="B33" s="20"/>
      <c r="C33" s="21" t="n">
        <f aca="false">SUM(C25:C32)</f>
        <v>1180</v>
      </c>
      <c r="D33" s="22" t="n">
        <f aca="false">SUM(D25:D32)</f>
        <v>1255</v>
      </c>
      <c r="E33" s="20"/>
    </row>
    <row r="35" customFormat="false" ht="25.5" hidden="false" customHeight="true" outlineLevel="0" collapsed="false">
      <c r="A35" s="12" t="s">
        <v>54</v>
      </c>
      <c r="B35" s="12"/>
      <c r="C35" s="12"/>
      <c r="D35" s="12"/>
      <c r="E35" s="12"/>
    </row>
    <row r="36" customFormat="false" ht="15" hidden="false" customHeight="false" outlineLevel="0" collapsed="false">
      <c r="A36" s="13" t="s">
        <v>29</v>
      </c>
      <c r="B36" s="14" t="s">
        <v>30</v>
      </c>
      <c r="C36" s="14" t="s">
        <v>31</v>
      </c>
      <c r="D36" s="14" t="s">
        <v>32</v>
      </c>
      <c r="E36" s="14" t="s">
        <v>23</v>
      </c>
    </row>
    <row r="37" customFormat="false" ht="15" hidden="false" customHeight="false" outlineLevel="0" collapsed="false">
      <c r="A37" s="15" t="s">
        <v>55</v>
      </c>
      <c r="B37" s="16" t="s">
        <v>56</v>
      </c>
      <c r="C37" s="17" t="n">
        <v>300</v>
      </c>
      <c r="D37" s="17" t="n">
        <v>300</v>
      </c>
      <c r="E37" s="18" t="n">
        <f aca="false">D37-C37</f>
        <v>0</v>
      </c>
    </row>
    <row r="38" customFormat="false" ht="15" hidden="false" customHeight="false" outlineLevel="0" collapsed="false">
      <c r="A38" s="15" t="s">
        <v>57</v>
      </c>
      <c r="B38" s="16" t="s">
        <v>56</v>
      </c>
      <c r="C38" s="17" t="n">
        <v>250</v>
      </c>
      <c r="D38" s="17" t="n">
        <v>250</v>
      </c>
      <c r="E38" s="18" t="n">
        <f aca="false">D38-C38</f>
        <v>0</v>
      </c>
    </row>
    <row r="39" customFormat="false" ht="15" hidden="false" customHeight="false" outlineLevel="0" collapsed="false">
      <c r="A39" s="15" t="s">
        <v>58</v>
      </c>
      <c r="B39" s="16" t="s">
        <v>56</v>
      </c>
      <c r="C39" s="17" t="n">
        <v>100</v>
      </c>
      <c r="D39" s="17" t="n">
        <v>100</v>
      </c>
      <c r="E39" s="18" t="n">
        <f aca="false">D39-C39</f>
        <v>0</v>
      </c>
    </row>
    <row r="40" customFormat="false" ht="15" hidden="false" customHeight="false" outlineLevel="0" collapsed="false">
      <c r="A40" s="15" t="s">
        <v>59</v>
      </c>
      <c r="B40" s="16" t="s">
        <v>56</v>
      </c>
      <c r="C40" s="17" t="n">
        <v>150</v>
      </c>
      <c r="D40" s="17" t="n">
        <v>150</v>
      </c>
      <c r="E40" s="18" t="n">
        <f aca="false">D40-C40</f>
        <v>0</v>
      </c>
    </row>
    <row r="41" customFormat="false" ht="15" hidden="false" customHeight="false" outlineLevel="0" collapsed="false">
      <c r="A41" s="19" t="s">
        <v>60</v>
      </c>
      <c r="B41" s="20"/>
      <c r="C41" s="21" t="n">
        <f aca="false">SUM(C37:C40)</f>
        <v>800</v>
      </c>
      <c r="D41" s="22" t="n">
        <f aca="false">SUM(D37:D40)</f>
        <v>800</v>
      </c>
      <c r="E41" s="20"/>
    </row>
    <row r="43" customFormat="false" ht="25.5" hidden="false" customHeight="true" outlineLevel="0" collapsed="false">
      <c r="A43" s="12" t="s">
        <v>61</v>
      </c>
      <c r="B43" s="12"/>
      <c r="C43" s="12"/>
      <c r="D43" s="12"/>
      <c r="E43" s="12"/>
    </row>
    <row r="44" customFormat="false" ht="15" hidden="false" customHeight="false" outlineLevel="0" collapsed="false">
      <c r="A44" s="13" t="s">
        <v>29</v>
      </c>
      <c r="B44" s="14" t="s">
        <v>30</v>
      </c>
      <c r="C44" s="14" t="s">
        <v>31</v>
      </c>
      <c r="D44" s="14" t="s">
        <v>32</v>
      </c>
      <c r="E44" s="14" t="s">
        <v>23</v>
      </c>
    </row>
    <row r="45" customFormat="false" ht="15" hidden="false" customHeight="false" outlineLevel="0" collapsed="false">
      <c r="A45" s="15" t="s">
        <v>62</v>
      </c>
      <c r="B45" s="16" t="s">
        <v>56</v>
      </c>
      <c r="C45" s="17" t="n">
        <v>200</v>
      </c>
      <c r="D45" s="17" t="n">
        <v>200</v>
      </c>
      <c r="E45" s="18" t="n">
        <f aca="false">D45-C45</f>
        <v>0</v>
      </c>
    </row>
    <row r="46" customFormat="false" ht="15" hidden="false" customHeight="false" outlineLevel="0" collapsed="false">
      <c r="A46" s="15" t="s">
        <v>63</v>
      </c>
      <c r="B46" s="16" t="s">
        <v>56</v>
      </c>
      <c r="C46" s="17" t="n">
        <v>180</v>
      </c>
      <c r="D46" s="17" t="n">
        <v>180</v>
      </c>
      <c r="E46" s="18" t="n">
        <f aca="false">D46-C46</f>
        <v>0</v>
      </c>
    </row>
    <row r="47" customFormat="false" ht="15" hidden="false" customHeight="false" outlineLevel="0" collapsed="false">
      <c r="A47" s="15" t="s">
        <v>64</v>
      </c>
      <c r="B47" s="16" t="s">
        <v>56</v>
      </c>
      <c r="C47" s="17" t="n">
        <v>0</v>
      </c>
      <c r="D47" s="17" t="n">
        <v>0</v>
      </c>
      <c r="E47" s="18" t="n">
        <f aca="false">D47-C47</f>
        <v>0</v>
      </c>
    </row>
    <row r="48" customFormat="false" ht="15" hidden="false" customHeight="false" outlineLevel="0" collapsed="false">
      <c r="A48" s="19" t="s">
        <v>65</v>
      </c>
      <c r="B48" s="20"/>
      <c r="C48" s="21" t="n">
        <f aca="false">SUM(C45:C47)</f>
        <v>380</v>
      </c>
      <c r="D48" s="22" t="n">
        <f aca="false">SUM(D45:D47)</f>
        <v>380</v>
      </c>
      <c r="E48" s="20"/>
    </row>
    <row r="50" customFormat="false" ht="30" hidden="false" customHeight="true" outlineLevel="0" collapsed="false">
      <c r="A50" s="23" t="s">
        <v>66</v>
      </c>
      <c r="B50" s="23"/>
      <c r="C50" s="23"/>
      <c r="D50" s="24" t="n">
        <f aca="false">D9-(D21+D33+D41+D48)</f>
        <v>128</v>
      </c>
      <c r="E50" s="25"/>
    </row>
  </sheetData>
  <mergeCells count="9">
    <mergeCell ref="A1:E1"/>
    <mergeCell ref="A2:C2"/>
    <mergeCell ref="D2:E2"/>
    <mergeCell ref="A4:E4"/>
    <mergeCell ref="A11:E11"/>
    <mergeCell ref="A23:E23"/>
    <mergeCell ref="A35:E35"/>
    <mergeCell ref="A43:E43"/>
    <mergeCell ref="A50:C50"/>
  </mergeCells>
  <conditionalFormatting sqref="E13:E47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E6:E8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0">
      <formula>0</formula>
    </cfRule>
  </conditionalFormatting>
  <conditionalFormatting sqref="D50">
    <cfRule type="cellIs" priority="6" operator="lessThan" aboveAverage="0" equalAverage="0" bottom="0" percent="0" rank="0" text="" dxfId="2">
      <formula>0</formula>
    </cfRule>
    <cfRule type="cellIs" priority="7" operator="greaterThanOrEqual" aboveAverage="0" equalAverage="0" bottom="0" percent="0" rank="0" text="" dxfId="3">
      <formula>0</formula>
    </cfRule>
  </conditionalFormatting>
  <dataValidations count="1">
    <dataValidation allowBlank="true" errorStyle="stop" operator="between" showDropDown="false" showErrorMessage="false" showInputMessage="false" sqref="B13:B47" type="list">
      <formula1>"Need,Want,Save"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5" min="3" style="1" width="18"/>
    <col collapsed="false" customWidth="true" hidden="false" outlineLevel="0" max="6" min="6" style="1" width="4"/>
  </cols>
  <sheetData>
    <row r="1" customFormat="false" ht="43.5" hidden="false" customHeight="true" outlineLevel="0" collapsed="false">
      <c r="B1" s="26" t="s">
        <v>67</v>
      </c>
      <c r="C1" s="26"/>
      <c r="D1" s="26"/>
      <c r="E1" s="26"/>
    </row>
    <row r="2" customFormat="false" ht="15" hidden="false" customHeight="false" outlineLevel="0" collapsed="false">
      <c r="B2" s="10" t="s">
        <v>68</v>
      </c>
      <c r="C2" s="10"/>
      <c r="D2" s="10"/>
      <c r="E2" s="10"/>
    </row>
    <row r="4" customFormat="false" ht="19.5" hidden="false" customHeight="true" outlineLevel="0" collapsed="false">
      <c r="B4" s="27" t="s">
        <v>27</v>
      </c>
      <c r="C4" s="27" t="s">
        <v>69</v>
      </c>
      <c r="D4" s="27" t="s">
        <v>70</v>
      </c>
    </row>
    <row r="5" customFormat="false" ht="33.75" hidden="false" customHeight="true" outlineLevel="0" collapsed="false">
      <c r="B5" s="28" t="n">
        <f aca="false">'Monthly Budget'!D9</f>
        <v>4920</v>
      </c>
      <c r="C5" s="28" t="n">
        <f aca="false">('Monthly Budget'!D21+'Monthly Budget'!D33+'Monthly Budget'!D41+'Monthly Budget'!D48)</f>
        <v>4792</v>
      </c>
      <c r="D5" s="28" t="n">
        <f aca="false">'Monthly Budget'!D9-('Monthly Budget'!D21+'Monthly Budget'!D33+'Monthly Budget'!D41+'Monthly Budget'!D48)</f>
        <v>128</v>
      </c>
    </row>
    <row r="7" customFormat="false" ht="17.35" hidden="false" customHeight="false" outlineLevel="0" collapsed="false">
      <c r="B7" s="29" t="s">
        <v>71</v>
      </c>
      <c r="C7" s="29"/>
      <c r="D7" s="30" t="n">
        <f aca="false">IFERROR(('Monthly Budget'!D41+'Monthly Budget'!D48)/'Monthly Budget'!D9,0)</f>
        <v>0.239837398373984</v>
      </c>
    </row>
    <row r="9" customFormat="false" ht="24" hidden="false" customHeight="true" outlineLevel="0" collapsed="false">
      <c r="B9" s="31" t="s">
        <v>72</v>
      </c>
      <c r="C9" s="31"/>
      <c r="D9" s="31"/>
      <c r="E9" s="31"/>
    </row>
    <row r="10" customFormat="false" ht="15" hidden="false" customHeight="false" outlineLevel="0" collapsed="false">
      <c r="B10" s="14" t="s">
        <v>73</v>
      </c>
      <c r="C10" s="14" t="s">
        <v>74</v>
      </c>
      <c r="D10" s="14" t="s">
        <v>75</v>
      </c>
      <c r="E10" s="14" t="s">
        <v>76</v>
      </c>
    </row>
    <row r="11" customFormat="false" ht="15" hidden="false" customHeight="false" outlineLevel="0" collapsed="false">
      <c r="B11" s="32" t="s">
        <v>77</v>
      </c>
      <c r="C11" s="18" t="n">
        <f aca="false">SUMIF('Monthly Budget'!B13:B47,"Need",'Monthly Budget'!D13:D47)</f>
        <v>3045</v>
      </c>
      <c r="D11" s="33" t="n">
        <f aca="false">IFERROR(C11/'Monthly Budget'!D9,0)</f>
        <v>0.61890243902439</v>
      </c>
      <c r="E11" s="34" t="n">
        <v>0.5</v>
      </c>
    </row>
    <row r="12" customFormat="false" ht="15" hidden="false" customHeight="false" outlineLevel="0" collapsed="false">
      <c r="B12" s="32" t="s">
        <v>78</v>
      </c>
      <c r="C12" s="18" t="n">
        <f aca="false">SUMIF('Monthly Budget'!B13:B47,"Want",'Monthly Budget'!D13:D47)</f>
        <v>567</v>
      </c>
      <c r="D12" s="33" t="n">
        <f aca="false">IFERROR(C12/'Monthly Budget'!D9,0)</f>
        <v>0.115243902439024</v>
      </c>
      <c r="E12" s="34" t="n">
        <v>0.3</v>
      </c>
    </row>
    <row r="13" customFormat="false" ht="15" hidden="false" customHeight="false" outlineLevel="0" collapsed="false">
      <c r="B13" s="32" t="s">
        <v>79</v>
      </c>
      <c r="C13" s="18" t="n">
        <f aca="false">SUMIF('Monthly Budget'!B13:B47,"Save",'Monthly Budget'!D13:D47)</f>
        <v>1180</v>
      </c>
      <c r="D13" s="33" t="n">
        <f aca="false">IFERROR(C13/'Monthly Budget'!D9,0)</f>
        <v>0.239837398373984</v>
      </c>
      <c r="E13" s="34" t="n">
        <v>0.2</v>
      </c>
    </row>
    <row r="15" customFormat="false" ht="21.75" hidden="false" customHeight="true" outlineLevel="0" collapsed="false">
      <c r="B15" s="35" t="s">
        <v>80</v>
      </c>
      <c r="C15" s="35"/>
      <c r="D15" s="35"/>
      <c r="E15" s="35"/>
    </row>
    <row r="16" customFormat="false" ht="21.75" hidden="false" customHeight="true" outlineLevel="0" collapsed="false">
      <c r="B16" s="35"/>
      <c r="C16" s="35"/>
      <c r="D16" s="35"/>
      <c r="E16" s="35"/>
    </row>
  </sheetData>
  <mergeCells count="5">
    <mergeCell ref="B1:E1"/>
    <mergeCell ref="B2:E2"/>
    <mergeCell ref="B7:C7"/>
    <mergeCell ref="B9:E9"/>
    <mergeCell ref="B15:E16"/>
  </mergeCells>
  <conditionalFormatting sqref="D5">
    <cfRule type="cellIs" priority="2" operator="lessThan" aboveAverage="0" equalAverage="0" bottom="0" percent="0" rank="0" text="" dxfId="4">
      <formula>0</formula>
    </cfRule>
    <cfRule type="cellIs" priority="3" operator="greaterThanOrEqual" aboveAverage="0" equalAverage="0" bottom="0" percent="0" rank="0" text="" dxfId="5">
      <formula>0</formula>
    </cfRule>
  </conditionalFormatting>
  <conditionalFormatting sqref="D7">
    <cfRule type="cellIs" priority="4" operator="greaterThanOrEqual" aboveAverage="0" equalAverage="0" bottom="0" percent="0" rank="0" text="" dxfId="6">
      <formula>0.2</formula>
    </cfRule>
    <cfRule type="cellIs" priority="5" operator="lessThan" aboveAverage="0" equalAverage="0" bottom="0" percent="0" rank="0" text="" dxfId="7">
      <formula>0.1</formula>
    </cfRule>
  </conditionalFormatting>
  <conditionalFormatting sqref="D11">
    <cfRule type="cellIs" priority="6" operator="greaterThan" aboveAverage="0" equalAverage="0" bottom="0" percent="0" rank="0" text="" dxfId="0">
      <formula>0.5</formula>
    </cfRule>
    <cfRule type="cellIs" priority="7" operator="lessThanOrEqual" aboveAverage="0" equalAverage="0" bottom="0" percent="0" rank="0" text="" dxfId="1">
      <formula>0.5</formula>
    </cfRule>
  </conditionalFormatting>
  <conditionalFormatting sqref="D12">
    <cfRule type="cellIs" priority="8" operator="greaterThan" aboveAverage="0" equalAverage="0" bottom="0" percent="0" rank="0" text="" dxfId="0">
      <formula>0.3</formula>
    </cfRule>
    <cfRule type="cellIs" priority="9" operator="lessThanOrEqual" aboveAverage="0" equalAverage="0" bottom="0" percent="0" rank="0" text="" dxfId="1">
      <formula>0.3</formula>
    </cfRule>
  </conditionalFormatting>
  <conditionalFormatting sqref="D13">
    <cfRule type="cellIs" priority="10" operator="greaterThanOrEqual" aboveAverage="0" equalAverage="0" bottom="0" percent="0" rank="0" text="" dxfId="1">
      <formula>0.2</formula>
    </cfRule>
    <cfRule type="cellIs" priority="11" operator="lessThan" aboveAverage="0" equalAverage="0" bottom="0" percent="0" rank="0" text="" dxfId="0">
      <formula>0.2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2026-07-10T12:31:21Z</dcterms:created>
  <dc:creator>openpyxl</dc:creator>
  <dc:description/>
  <dc:language>en-US</dc:language>
  <cp:lastModifiedBy/>
  <dcterms:modified xsi:type="dcterms:W3CDTF">2026-07-10T12:31:21Z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
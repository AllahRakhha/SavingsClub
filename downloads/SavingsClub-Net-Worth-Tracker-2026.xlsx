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Start Here" sheetId="1" state="visible" r:id="rId3"/>
    <sheet name="Net Worth" sheetId="2" state="visible" r:id="rId4"/>
    <sheet name="Age Benchmarks" sheetId="3" state="visible" r:id="rId5"/>
    <sheet name="Dashboard" sheetId="4" state="visible" r:id="rId6"/>
    <sheet name="Monthly Tracker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<sst xmlns="http://schemas.openxmlformats.org/spreadsheetml/2006/main" count="97" uniqueCount="94">
  <si>
    <t xml:space="preserve">  SavingsClub Net Worth Tracker</t>
  </si>
  <si>
    <t xml:space="preserve">  Free wealth tracker with age benchmarks  ·  savingsclub.com</t>
  </si>
  <si>
    <t xml:space="preserve">  How to use this tracker</t>
  </si>
  <si>
    <t xml:space="preserve">1.  Open the 'Net Worth' tab and type your own numbers into the soft-yellow cells. Everything else calculates itself.</t>
  </si>
  <si>
    <t xml:space="preserve">2.  Open the 'Dashboard' tab to see your total, liquid, and investable net worth, your debt ratio, and how you compare to other Americans your age.</t>
  </si>
  <si>
    <t xml:space="preserve">3.  Each month, add one new row of numbers on the 'Monthly Tracker' tab and watch the trend. The trend matters far more than any single month.</t>
  </si>
  <si>
    <t xml:space="preserve">4.  The 'Age Benchmarks' tab holds the Federal Reserve reference data. You do not need to edit it.</t>
  </si>
  <si>
    <t xml:space="preserve">  The one rule for editing</t>
  </si>
  <si>
    <t xml:space="preserve">Only the soft-yellow cells are meant to be typed in. Every white or colored cell is a formula. If you overwrite a formula, that number will stop updating.</t>
  </si>
  <si>
    <t xml:space="preserve">  What the three net worth numbers mean</t>
  </si>
  <si>
    <t xml:space="preserve">Total net worth  =  everything you own minus everything you owe. The full picture, including home equity and cars.</t>
  </si>
  <si>
    <t xml:space="preserve">Liquid net worth  =  cash and investments you could reach in an emergency, minus short-term debts. Excludes your home.</t>
  </si>
  <si>
    <t xml:space="preserve">Investable net worth  =  cash plus investment accounts only. The money you could put to work today.</t>
  </si>
  <si>
    <t xml:space="preserve">  Source &amp; disclaimer</t>
  </si>
  <si>
    <t xml:space="preserve">Benchmark figures: Federal Reserve Survey of Consumer Finances, 2022 (the most recent completed survey; 2025 results are expected in late 2026). Figures are in 2022 dollars.</t>
  </si>
  <si>
    <t xml:space="preserve">This tracker is for educational purposes only and is not personal financial advice. SavingsClub is not a licensed financial advisor.</t>
  </si>
  <si>
    <t xml:space="preserve">Free to keep and to share. Made by SavingsClub  ·  savingsclub.com</t>
  </si>
  <si>
    <t xml:space="preserve">  Your Net Worth</t>
  </si>
  <si>
    <t xml:space="preserve">  Type your numbers into the yellow cells. Totals update automatically.</t>
  </si>
  <si>
    <t xml:space="preserve">  ASSETS  (What You Own)</t>
  </si>
  <si>
    <t xml:space="preserve">Amount</t>
  </si>
  <si>
    <t xml:space="preserve">Cash &amp; Checking</t>
  </si>
  <si>
    <t xml:space="preserve">Savings Accounts</t>
  </si>
  <si>
    <t xml:space="preserve">Investment Accounts</t>
  </si>
  <si>
    <t xml:space="preserve">Retirement (401k, IRA)</t>
  </si>
  <si>
    <t xml:space="preserve">Home Value</t>
  </si>
  <si>
    <t xml:space="preserve">Vehicle Value</t>
  </si>
  <si>
    <t xml:space="preserve">Other Assets</t>
  </si>
  <si>
    <t xml:space="preserve">  Total Assets</t>
  </si>
  <si>
    <t xml:space="preserve">  LIABILITIES  (What You Owe)</t>
  </si>
  <si>
    <t xml:space="preserve">Mortgage Balance</t>
  </si>
  <si>
    <t xml:space="preserve">Home Equity Loan</t>
  </si>
  <si>
    <t xml:space="preserve">Student Loans</t>
  </si>
  <si>
    <t xml:space="preserve">Car Loans</t>
  </si>
  <si>
    <t xml:space="preserve">Credit Card Debt</t>
  </si>
  <si>
    <t xml:space="preserve">Personal Loans</t>
  </si>
  <si>
    <t xml:space="preserve">Medical Debt</t>
  </si>
  <si>
    <t xml:space="preserve">Other Liabilities</t>
  </si>
  <si>
    <t xml:space="preserve">  Total Liabilities</t>
  </si>
  <si>
    <t xml:space="preserve">  YOUR NET WORTH</t>
  </si>
  <si>
    <t xml:space="preserve">  Liquid Net Worth</t>
  </si>
  <si>
    <t xml:space="preserve">Cash + investments you can reach fast, minus short-term debts</t>
  </si>
  <si>
    <t xml:space="preserve">  Investable Net Worth</t>
  </si>
  <si>
    <t xml:space="preserve">Cash + investment accounts only</t>
  </si>
  <si>
    <t xml:space="preserve">  Debt-to-Asset Ratio</t>
  </si>
  <si>
    <t xml:space="preserve">Under 50% is healthy. Higher means debt is dragging your net worth.</t>
  </si>
  <si>
    <t xml:space="preserve">  Your Age</t>
  </si>
  <si>
    <t xml:space="preserve">Used for the age benchmark comparison on the Dashboard</t>
  </si>
  <si>
    <t xml:space="preserve">  Annual Pre-Tax Income</t>
  </si>
  <si>
    <t xml:space="preserve">Used for your 'on track' target (age x income / 10)</t>
  </si>
  <si>
    <t xml:space="preserve">Yellow cells = type here.  White / colored cells = auto-calculated.</t>
  </si>
  <si>
    <t xml:space="preserve">  Net Worth by Age  (Federal Reserve, 2022 SCF)</t>
  </si>
  <si>
    <t xml:space="preserve">Age Band</t>
  </si>
  <si>
    <t xml:space="preserve">Lower age</t>
  </si>
  <si>
    <t xml:space="preserve">Median</t>
  </si>
  <si>
    <t xml:space="preserve">Average</t>
  </si>
  <si>
    <t xml:space="preserve">Under 35</t>
  </si>
  <si>
    <t xml:space="preserve">35 to 44</t>
  </si>
  <si>
    <t xml:space="preserve">45 to 54</t>
  </si>
  <si>
    <t xml:space="preserve">55 to 64</t>
  </si>
  <si>
    <t xml:space="preserve">65 to 74</t>
  </si>
  <si>
    <t xml:space="preserve">75 and up</t>
  </si>
  <si>
    <t xml:space="preserve">Source: Federal Reserve Survey of Consumer Finances, 2022 (2022 dollars). Latest completed survey; 2025 results expected late 2026.</t>
  </si>
  <si>
    <t xml:space="preserve">  Your Financial Dashboard</t>
  </si>
  <si>
    <t xml:space="preserve">  Updates from the numbers you enter on the 'Net Worth' tab</t>
  </si>
  <si>
    <t xml:space="preserve">TOTAL NET WORTH</t>
  </si>
  <si>
    <t xml:space="preserve">LIQUID NET WORTH</t>
  </si>
  <si>
    <t xml:space="preserve">INVESTABLE</t>
  </si>
  <si>
    <t xml:space="preserve">DEBT RATIO</t>
  </si>
  <si>
    <t xml:space="preserve">Total Assets</t>
  </si>
  <si>
    <t xml:space="preserve">Total Liabilities</t>
  </si>
  <si>
    <t xml:space="preserve">  How you compare for your age</t>
  </si>
  <si>
    <t xml:space="preserve">Your age</t>
  </si>
  <si>
    <t xml:space="preserve">Median for your age</t>
  </si>
  <si>
    <t xml:space="preserve">You vs median</t>
  </si>
  <si>
    <t xml:space="preserve">'On track' target</t>
  </si>
  <si>
    <t xml:space="preserve">(Millionaire Next Door: age x income / 10)</t>
  </si>
  <si>
    <t xml:space="preserve">  Monthly Net Worth Tracker</t>
  </si>
  <si>
    <t xml:space="preserve">  Row 1 links to your current numbers. Each month, fill the next row's yellow cells.</t>
  </si>
  <si>
    <t xml:space="preserve">Month</t>
  </si>
  <si>
    <t xml:space="preserve">Net Worth</t>
  </si>
  <si>
    <t xml:space="preserve">Change</t>
  </si>
  <si>
    <t xml:space="preserve">Month 1 (now)</t>
  </si>
  <si>
    <t xml:space="preserve">Month 2</t>
  </si>
  <si>
    <t xml:space="preserve">Month 3</t>
  </si>
  <si>
    <t xml:space="preserve">Month 4</t>
  </si>
  <si>
    <t xml:space="preserve">Month 5</t>
  </si>
  <si>
    <t xml:space="preserve">Month 6</t>
  </si>
  <si>
    <t xml:space="preserve">Month 7</t>
  </si>
  <si>
    <t xml:space="preserve">Month 8</t>
  </si>
  <si>
    <t xml:space="preserve">Month 9</t>
  </si>
  <si>
    <t xml:space="preserve">Month 10</t>
  </si>
  <si>
    <t xml:space="preserve">Month 11</t>
  </si>
  <si>
    <t xml:space="preserve">Month 12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</si>
</sst>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;&quot;($&quot;#,##0\);\-"/>
    <numFmt numFmtId="166" formatCode="0.0%"/>
    <numFmt numFmtId="167" formatCode="0"/>
    <numFmt numFmtId="168" formatCode="General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i val="true"/>
      <sz val="11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.5"/>
      <color rgb="FF1F2937"/>
      <name val="Arial"/>
      <family val="0"/>
      <charset val="1"/>
    </font>
    <font>
      <b val="true"/>
      <sz val="10.5"/>
      <color rgb="FF1F2937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059669"/>
      <name val="Arial"/>
      <family val="0"/>
      <charset val="1"/>
    </font>
    <font>
      <i val="true"/>
      <sz val="9"/>
      <color rgb="FF64748B"/>
      <name val="Arial"/>
      <family val="0"/>
      <charset val="1"/>
    </font>
    <font>
      <b val="true"/>
      <sz val="11"/>
      <color rgb="FFB45309"/>
      <name val="Arial"/>
      <family val="0"/>
      <charset val="1"/>
    </font>
    <font>
      <b val="true"/>
      <sz val="10.5"/>
      <color rgb="FFFFFFFF"/>
      <name val="Arial"/>
      <family val="0"/>
      <charset val="1"/>
    </font>
    <font>
      <sz val="10"/>
      <color rgb="FF1F2937"/>
      <name val="Arial"/>
      <family val="0"/>
      <charset val="1"/>
    </font>
    <font>
      <b val="true"/>
      <sz val="28"/>
      <color rgb="FF059669"/>
      <name val="Arial"/>
      <family val="0"/>
      <charset val="1"/>
    </font>
    <font>
      <b val="true"/>
      <sz val="9"/>
      <color rgb="FF059669"/>
      <name val="Arial"/>
      <family val="0"/>
      <charset val="1"/>
    </font>
    <font>
      <b val="true"/>
      <sz val="9"/>
      <color rgb="FFB45309"/>
      <name val="Arial"/>
      <family val="0"/>
      <charset val="1"/>
    </font>
    <font>
      <b val="true"/>
      <sz val="15"/>
      <color rgb="FF059669"/>
      <name val="Arial"/>
      <family val="0"/>
      <charset val="1"/>
    </font>
    <font>
      <b val="true"/>
      <sz val="15"/>
      <color rgb="FFB45309"/>
      <name val="Arial"/>
      <family val="0"/>
      <charset val="1"/>
    </font>
    <font>
      <b val="true"/>
      <sz val="10"/>
      <color rgb="FF059669"/>
      <name val="Arial"/>
      <family val="0"/>
      <charset val="1"/>
    </font>
    <font>
      <b val="true"/>
      <sz val="10"/>
      <color rgb="FFDC2626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i val="true"/>
      <sz val="10"/>
      <color rgb="FF0A162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6"/>
      <color rgb="FFFFFFFF"/>
      <name val="Arial"/>
      <family val="0"/>
      <charset val="1"/>
    </font>
    <font>
      <i val="true"/>
      <sz val="9.5"/>
      <color rgb="FFFFFFFF"/>
      <name val="Arial"/>
      <family val="0"/>
      <charset val="1"/>
    </font>
    <font>
      <b val="true"/>
      <sz val="10"/>
      <color rgb="FF0A1628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0A1628"/>
        <bgColor rgb="FF0F2540"/>
      </patternFill>
    </fill>
    <fill>
      <patternFill patternType="solid">
        <fgColor rgb="FF059669"/>
        <bgColor rgb="FF008000"/>
      </patternFill>
    </fill>
    <fill>
      <patternFill patternType="solid">
        <fgColor rgb="FFB45309"/>
        <bgColor rgb="FFAB4744"/>
      </patternFill>
    </fill>
    <fill>
      <patternFill patternType="solid">
        <fgColor rgb="FFFEF3C7"/>
        <bgColor rgb="FFFFF7D6"/>
      </patternFill>
    </fill>
    <fill>
      <patternFill patternType="solid">
        <fgColor rgb="FF64748B"/>
        <bgColor rgb="FF4672A8"/>
      </patternFill>
    </fill>
    <fill>
      <patternFill patternType="solid">
        <fgColor rgb="FFECFDF5"/>
        <bgColor rgb="FFF1F5F9"/>
      </patternFill>
    </fill>
    <fill>
      <patternFill patternType="solid">
        <fgColor rgb="FFFFF7D6"/>
        <bgColor rgb="FFFEF3C7"/>
      </patternFill>
    </fill>
    <fill>
      <patternFill patternType="solid">
        <fgColor rgb="FFFFFFFF"/>
        <bgColor rgb="FFF8FAFC"/>
      </patternFill>
    </fill>
    <fill>
      <patternFill patternType="solid">
        <fgColor rgb="FFDC2626"/>
        <bgColor rgb="FFBE4B48"/>
      </patternFill>
    </fill>
    <fill>
      <patternFill patternType="solid">
        <fgColor rgb="FFFEE2E2"/>
        <bgColor rgb="FFE5E7EB"/>
      </patternFill>
    </fill>
    <fill>
      <patternFill patternType="solid">
        <fgColor rgb="FFF1F5F9"/>
        <bgColor rgb="FFF8FAFC"/>
      </patternFill>
    </fill>
    <fill>
      <patternFill patternType="solid">
        <fgColor rgb="FF0F2540"/>
        <bgColor rgb="FF1F2937"/>
      </patternFill>
    </fill>
    <fill>
      <patternFill patternType="solid">
        <fgColor rgb="FFF8FAFC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 diagonalUp="false" diagonalDown="false"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1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1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1" fillId="1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2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3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5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1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22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6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31" fillId="1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7" fillId="1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7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31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7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Arial"/>
        <charset val="1"/>
        <family val="0"/>
        <b val="1"/>
        <color rgb="FFFFFFFF"/>
        <sz val="14"/>
      </font>
      <fill>
        <patternFill>
          <bgColor rgb="FF059669"/>
        </patternFill>
      </fill>
    </dxf>
    <dxf>
      <font>
        <name val="Arial"/>
        <charset val="1"/>
        <family val="0"/>
        <b val="1"/>
        <color rgb="FFFFFFFF"/>
        <sz val="14"/>
      </font>
      <fill>
        <patternFill>
          <bgColor rgb="FFDC2626"/>
        </patternFill>
      </fill>
    </dxf>
    <dxf>
      <font>
        <name val="Arial"/>
        <charset val="1"/>
        <family val="0"/>
        <b val="1"/>
        <color rgb="FFDC2626"/>
        <sz val="28"/>
      </font>
      <fill>
        <patternFill>
          <bgColor rgb="FFFEE2E2"/>
        </patternFill>
      </fill>
    </dxf>
    <dxf>
      <font>
        <name val="Arial"/>
        <charset val="1"/>
        <family val="0"/>
        <b val="1"/>
        <color rgb="FF059669"/>
      </font>
    </dxf>
    <dxf>
      <font>
        <name val="Arial"/>
        <charset val="1"/>
        <family val="0"/>
        <b val="1"/>
        <color rgb="FFDC2626"/>
      </font>
    </dxf>
  </dxf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59669"/>
      <rgbColor rgb="FFF8FAFC"/>
      <rgbColor rgb="FF878787"/>
      <rgbColor rgb="FF93A9CE"/>
      <rgbColor rgb="FFAB4744"/>
      <rgbColor rgb="FFFFF7D6"/>
      <rgbColor rgb="FFECFDF5"/>
      <rgbColor rgb="FF660066"/>
      <rgbColor rgb="FFDC853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F1F5F9"/>
      <rgbColor rgb="FFE5E7EB"/>
      <rgbColor rgb="FFFEF3C7"/>
      <rgbColor rgb="FF99CCFF"/>
      <rgbColor rgb="FFFF99CC"/>
      <rgbColor rgb="FFCC99FF"/>
      <rgbColor rgb="FFFEE2E2"/>
      <rgbColor rgb="FF4672A8"/>
      <rgbColor rgb="FF33CCCC"/>
      <rgbColor rgb="FF99CC00"/>
      <rgbColor rgb="FFFFCC00"/>
      <rgbColor rgb="FFF59E0B"/>
      <rgbColor rgb="FFFF6600"/>
      <rgbColor rgb="FF64748B"/>
      <rgbColor rgb="FF8AA64F"/>
      <rgbColor rgb="FF0F2540"/>
      <rgbColor rgb="FF4299B0"/>
      <rgbColor rgb="FF0A1628"/>
      <rgbColor rgb="FF333300"/>
      <rgbColor rgb="FFB45309"/>
      <rgbColor rgb="FFBE4B48"/>
      <rgbColor rgb="FF725990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Asset Allocation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'Net Worth'!$B$5:$B$11</c:f>
              <c:strCache>
                <c:ptCount val="7"/>
                <c:pt idx="0">
                  <c:v>Cash &amp; Checking</c:v>
                </c:pt>
                <c:pt idx="1">
                  <c:v>Savings Accounts</c:v>
                </c:pt>
                <c:pt idx="2">
                  <c:v>Investment Accounts</c:v>
                </c:pt>
                <c:pt idx="3">
                  <c:v>Retirement (401k, IRA)</c:v>
                </c:pt>
                <c:pt idx="4">
                  <c:v>Home Value</c:v>
                </c:pt>
                <c:pt idx="5">
                  <c:v>Vehicle Value</c:v>
                </c:pt>
                <c:pt idx="6">
                  <c:v>Other Assets</c:v>
                </c:pt>
              </c:strCache>
            </c:strRef>
          </c:cat>
          <c:val>
            <c:numRef>
              <c:f>'Net Worth'!$C$5:$C$11</c:f>
              <c:numCache>
                <c:formatCode>\$#,##0;"($"#,##0\);\-</c:formatCode>
                <c:ptCount val="7"/>
                <c:pt idx="0">
                  <c:v>5000</c:v>
                </c:pt>
                <c:pt idx="1">
                  <c:v>15000</c:v>
                </c:pt>
                <c:pt idx="2">
                  <c:v>35000</c:v>
                </c:pt>
                <c:pt idx="3">
                  <c:v>65000</c:v>
                </c:pt>
                <c:pt idx="4">
                  <c:v>350000</c:v>
                </c:pt>
                <c:pt idx="5">
                  <c:v>18000</c:v>
                </c:pt>
                <c:pt idx="6">
                  <c:v>5000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Worth Over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Tracker'!E4</c:f>
              <c:strCache>
                <c:ptCount val="1"/>
                <c:pt idx="0">
                  <c:v>Net Worth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Tracker'!$B$5:$B$16</c:f>
              <c:strCache>
                <c:ptCount val="12"/>
                <c:pt idx="0">
                  <c:v>Month 1 (now)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  <c:pt idx="6">
                  <c:v>Month 7</c:v>
                </c:pt>
                <c:pt idx="7">
                  <c:v>Month 8</c:v>
                </c:pt>
                <c:pt idx="8">
                  <c:v>Month 9</c:v>
                </c:pt>
                <c:pt idx="9">
                  <c:v>Month 10</c:v>
                </c:pt>
                <c:pt idx="10">
                  <c:v>Month 11</c:v>
                </c:pt>
                <c:pt idx="11">
                  <c:v>Month 12</c:v>
                </c:pt>
              </c:strCache>
            </c:strRef>
          </c:cat>
          <c:val>
            <c:numRef>
              <c:f>'Monthly Tracker'!$E$5:$E$16</c:f>
              <c:numCache>
                <c:formatCode>\$#,##0;"($"#,##0\);\-</c:formatCode>
                <c:ptCount val="12"/>
                <c:pt idx="0">
                  <c:v>175500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3057245"/>
        <c:axId val="79249832"/>
      </c:lineChart>
      <c:catAx>
        <c:axId val="4305724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249832"/>
        <c:crosses val="autoZero"/>
        <c:auto val="1"/>
        <c:lblAlgn val="ctr"/>
        <c:lblOffset val="100"/>
        <c:noMultiLvlLbl val="0"/>
      </c:catAx>
      <c:valAx>
        <c:axId val="79249832"/>
        <c:scaling>
          <c:orientation val="minMax"/>
        </c:scaling>
        <c:delete val="0"/>
        <c:axPos val="l"/>
        <c:numFmt formatCode="\$#,##0;&quot;($&quot;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05724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20</xdr:row>
      <xdr:rowOff>0</xdr:rowOff>
    </xdr:from>
    <xdr:to>
      <xdr:col>4</xdr:col>
      <xdr:colOff>858240</xdr:colOff>
      <xdr:row>34</xdr:row>
      <xdr:rowOff>32760</xdr:rowOff>
    </xdr:to>
    <xdr:graphicFrame>
      <xdr:nvGraphicFramePr>
        <xdr:cNvPr id="0" name="Chart 1"/>
        <xdr:cNvGraphicFramePr/>
      </xdr:nvGraphicFramePr>
      <xdr:xfrm>
        <a:off x="211320" y="4896000"/>
        <a:ext cx="39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18</xdr:row>
      <xdr:rowOff>0</xdr:rowOff>
    </xdr:from>
    <xdr:to>
      <xdr:col>5</xdr:col>
      <xdr:colOff>465480</xdr:colOff>
      <xdr:row>31</xdr:row>
      <xdr:rowOff>43200</xdr:rowOff>
    </xdr:to>
    <xdr:graphicFrame>
      <xdr:nvGraphicFramePr>
        <xdr:cNvPr id="1" name="Chart 1"/>
        <xdr:cNvGraphicFramePr/>
      </xdr:nvGraphicFramePr>
      <xdr:xfrm>
        <a:off x="211320" y="3676680"/>
        <a:ext cx="53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92"/>
  </cols>
  <sheetData>
    <row r="1" customFormat="false" ht="33.75" hidden="false" customHeight="true" outlineLevel="0" collapsed="false">
      <c r="B1" s="1" t="s">
        <v>0</v>
      </c>
    </row>
    <row r="2" customFormat="false" ht="24" hidden="false" customHeight="true" outlineLevel="0" collapsed="false">
      <c r="B2" s="2" t="s">
        <v>1</v>
      </c>
    </row>
    <row r="3" customFormat="false" ht="15.75" hidden="false" customHeight="true" outlineLevel="0" collapsed="false"/>
    <row r="4" customFormat="false" ht="24" hidden="false" customHeight="true" outlineLevel="0" collapsed="false">
      <c r="B4" s="3" t="s">
        <v>2</v>
      </c>
    </row>
    <row r="5" customFormat="false" ht="30" hidden="false" customHeight="true" outlineLevel="0" collapsed="false">
      <c r="B5" s="4" t="s">
        <v>3</v>
      </c>
    </row>
    <row r="6" customFormat="false" ht="30" hidden="false" customHeight="true" outlineLevel="0" collapsed="false">
      <c r="B6" s="4" t="s">
        <v>4</v>
      </c>
    </row>
    <row r="7" customFormat="false" ht="30" hidden="false" customHeight="true" outlineLevel="0" collapsed="false">
      <c r="B7" s="4" t="s">
        <v>5</v>
      </c>
    </row>
    <row r="8" customFormat="false" ht="30" hidden="false" customHeight="true" outlineLevel="0" collapsed="false">
      <c r="B8" s="4" t="s">
        <v>6</v>
      </c>
    </row>
    <row r="9" customFormat="false" ht="15.75" hidden="false" customHeight="true" outlineLevel="0" collapsed="false"/>
    <row r="10" customFormat="false" ht="24" hidden="false" customHeight="true" outlineLevel="0" collapsed="false">
      <c r="B10" s="5" t="s">
        <v>7</v>
      </c>
    </row>
    <row r="11" customFormat="false" ht="30" hidden="false" customHeight="true" outlineLevel="0" collapsed="false">
      <c r="B11" s="6" t="s">
        <v>8</v>
      </c>
    </row>
    <row r="12" customFormat="false" ht="15.75" hidden="false" customHeight="true" outlineLevel="0" collapsed="false"/>
    <row r="13" customFormat="false" ht="24" hidden="false" customHeight="true" outlineLevel="0" collapsed="false">
      <c r="B13" s="3" t="s">
        <v>9</v>
      </c>
    </row>
    <row r="14" customFormat="false" ht="30" hidden="false" customHeight="true" outlineLevel="0" collapsed="false">
      <c r="B14" s="4" t="s">
        <v>10</v>
      </c>
    </row>
    <row r="15" customFormat="false" ht="30" hidden="false" customHeight="true" outlineLevel="0" collapsed="false">
      <c r="B15" s="4" t="s">
        <v>11</v>
      </c>
    </row>
    <row r="16" customFormat="false" ht="30" hidden="false" customHeight="true" outlineLevel="0" collapsed="false">
      <c r="B16" s="4" t="s">
        <v>12</v>
      </c>
    </row>
    <row r="17" customFormat="false" ht="15.75" hidden="false" customHeight="true" outlineLevel="0" collapsed="false"/>
    <row r="18" customFormat="false" ht="24" hidden="false" customHeight="true" outlineLevel="0" collapsed="false">
      <c r="B18" s="7" t="s">
        <v>13</v>
      </c>
    </row>
    <row r="19" customFormat="false" ht="30" hidden="false" customHeight="true" outlineLevel="0" collapsed="false">
      <c r="B19" s="4" t="s">
        <v>14</v>
      </c>
    </row>
    <row r="20" customFormat="false" ht="30" hidden="false" customHeight="true" outlineLevel="0" collapsed="false">
      <c r="B20" s="4" t="s">
        <v>15</v>
      </c>
    </row>
    <row r="21" customFormat="false" ht="30" hidden="false" customHeight="true" outlineLevel="0" collapsed="false">
      <c r="B21" s="4" t="s">
        <v>16</v>
      </c>
    </row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20"/>
    <col collapsed="false" customWidth="true" hidden="false" outlineLevel="0" max="4" min="4" style="0" width="3"/>
    <col collapsed="false" customWidth="true" hidden="false" outlineLevel="0" max="5" min="5" style="0" width="40"/>
  </cols>
  <sheetData>
    <row r="1" customFormat="false" ht="31.5" hidden="false" customHeight="true" outlineLevel="0" collapsed="false">
      <c r="B1" s="8" t="s">
        <v>17</v>
      </c>
      <c r="C1" s="8"/>
    </row>
    <row r="2" customFormat="false" ht="19.5" hidden="false" customHeight="true" outlineLevel="0" collapsed="false">
      <c r="B2" s="9" t="s">
        <v>18</v>
      </c>
      <c r="C2" s="9"/>
    </row>
    <row r="4" customFormat="false" ht="24" hidden="false" customHeight="true" outlineLevel="0" collapsed="false">
      <c r="B4" s="3" t="s">
        <v>19</v>
      </c>
      <c r="C4" s="10" t="s">
        <v>20</v>
      </c>
    </row>
    <row r="5" customFormat="false" ht="18.75" hidden="false" customHeight="true" outlineLevel="0" collapsed="false">
      <c r="B5" s="11" t="s">
        <v>21</v>
      </c>
      <c r="C5" s="12" t="n">
        <v>5000</v>
      </c>
    </row>
    <row r="6" customFormat="false" ht="18.75" hidden="false" customHeight="true" outlineLevel="0" collapsed="false">
      <c r="B6" s="13" t="s">
        <v>22</v>
      </c>
      <c r="C6" s="12" t="n">
        <v>15000</v>
      </c>
    </row>
    <row r="7" customFormat="false" ht="18.75" hidden="false" customHeight="true" outlineLevel="0" collapsed="false">
      <c r="B7" s="11" t="s">
        <v>23</v>
      </c>
      <c r="C7" s="12" t="n">
        <v>35000</v>
      </c>
    </row>
    <row r="8" customFormat="false" ht="18.75" hidden="false" customHeight="true" outlineLevel="0" collapsed="false">
      <c r="B8" s="13" t="s">
        <v>24</v>
      </c>
      <c r="C8" s="12" t="n">
        <v>65000</v>
      </c>
    </row>
    <row r="9" customFormat="false" ht="18.75" hidden="false" customHeight="true" outlineLevel="0" collapsed="false">
      <c r="B9" s="11" t="s">
        <v>25</v>
      </c>
      <c r="C9" s="12" t="n">
        <v>350000</v>
      </c>
    </row>
    <row r="10" customFormat="false" ht="18.75" hidden="false" customHeight="true" outlineLevel="0" collapsed="false">
      <c r="B10" s="13" t="s">
        <v>26</v>
      </c>
      <c r="C10" s="12" t="n">
        <v>18000</v>
      </c>
    </row>
    <row r="11" customFormat="false" ht="18.75" hidden="false" customHeight="true" outlineLevel="0" collapsed="false">
      <c r="B11" s="11" t="s">
        <v>27</v>
      </c>
      <c r="C11" s="12" t="n">
        <v>5000</v>
      </c>
    </row>
    <row r="12" customFormat="false" ht="21.75" hidden="false" customHeight="true" outlineLevel="0" collapsed="false">
      <c r="B12" s="14" t="s">
        <v>28</v>
      </c>
      <c r="C12" s="15" t="n">
        <f aca="false">SUM(C5:C11)</f>
        <v>493000</v>
      </c>
    </row>
    <row r="14" customFormat="false" ht="24" hidden="false" customHeight="true" outlineLevel="0" collapsed="false">
      <c r="B14" s="16" t="s">
        <v>29</v>
      </c>
      <c r="C14" s="17" t="s">
        <v>20</v>
      </c>
    </row>
    <row r="15" customFormat="false" ht="18.75" hidden="false" customHeight="true" outlineLevel="0" collapsed="false">
      <c r="B15" s="18" t="s">
        <v>30</v>
      </c>
      <c r="C15" s="12" t="n">
        <v>280000</v>
      </c>
    </row>
    <row r="16" customFormat="false" ht="18.75" hidden="false" customHeight="true" outlineLevel="0" collapsed="false">
      <c r="B16" s="13" t="s">
        <v>31</v>
      </c>
      <c r="C16" s="12" t="n">
        <v>0</v>
      </c>
    </row>
    <row r="17" customFormat="false" ht="18.75" hidden="false" customHeight="true" outlineLevel="0" collapsed="false">
      <c r="B17" s="18" t="s">
        <v>32</v>
      </c>
      <c r="C17" s="12" t="n">
        <v>22000</v>
      </c>
    </row>
    <row r="18" customFormat="false" ht="18.75" hidden="false" customHeight="true" outlineLevel="0" collapsed="false">
      <c r="B18" s="13" t="s">
        <v>33</v>
      </c>
      <c r="C18" s="12" t="n">
        <v>12000</v>
      </c>
    </row>
    <row r="19" customFormat="false" ht="18.75" hidden="false" customHeight="true" outlineLevel="0" collapsed="false">
      <c r="B19" s="18" t="s">
        <v>34</v>
      </c>
      <c r="C19" s="12" t="n">
        <v>3500</v>
      </c>
    </row>
    <row r="20" customFormat="false" ht="18.75" hidden="false" customHeight="true" outlineLevel="0" collapsed="false">
      <c r="B20" s="13" t="s">
        <v>35</v>
      </c>
      <c r="C20" s="12" t="n">
        <v>0</v>
      </c>
    </row>
    <row r="21" customFormat="false" ht="18.75" hidden="false" customHeight="true" outlineLevel="0" collapsed="false">
      <c r="B21" s="18" t="s">
        <v>36</v>
      </c>
      <c r="C21" s="12" t="n">
        <v>0</v>
      </c>
    </row>
    <row r="22" customFormat="false" ht="18.75" hidden="false" customHeight="true" outlineLevel="0" collapsed="false">
      <c r="B22" s="13" t="s">
        <v>37</v>
      </c>
      <c r="C22" s="12" t="n">
        <v>0</v>
      </c>
    </row>
    <row r="23" customFormat="false" ht="21.75" hidden="false" customHeight="true" outlineLevel="0" collapsed="false">
      <c r="B23" s="19" t="s">
        <v>38</v>
      </c>
      <c r="C23" s="20" t="n">
        <f aca="false">SUM(C15:C22)</f>
        <v>317500</v>
      </c>
    </row>
    <row r="25" customFormat="false" ht="30" hidden="false" customHeight="true" outlineLevel="0" collapsed="false">
      <c r="B25" s="21" t="s">
        <v>39</v>
      </c>
      <c r="C25" s="22" t="n">
        <f aca="false">C12-C23</f>
        <v>175500</v>
      </c>
    </row>
    <row r="26" customFormat="false" ht="19.5" hidden="false" customHeight="true" outlineLevel="0" collapsed="false">
      <c r="B26" s="23" t="s">
        <v>40</v>
      </c>
      <c r="C26" s="24" t="n">
        <f aca="false">(C5+C6+C7)-(C19+C20+C21+C22)</f>
        <v>51500</v>
      </c>
      <c r="E26" s="25" t="s">
        <v>41</v>
      </c>
    </row>
    <row r="27" customFormat="false" ht="19.5" hidden="false" customHeight="true" outlineLevel="0" collapsed="false">
      <c r="B27" s="23" t="s">
        <v>42</v>
      </c>
      <c r="C27" s="24" t="n">
        <f aca="false">C5+C6+C7</f>
        <v>55000</v>
      </c>
      <c r="E27" s="25" t="s">
        <v>43</v>
      </c>
    </row>
    <row r="28" customFormat="false" ht="19.5" hidden="false" customHeight="true" outlineLevel="0" collapsed="false">
      <c r="B28" s="26" t="s">
        <v>44</v>
      </c>
      <c r="C28" s="27" t="n">
        <f aca="false">IFERROR(C23/C12,0)</f>
        <v>0.644016227180527</v>
      </c>
      <c r="E28" s="28" t="s">
        <v>45</v>
      </c>
    </row>
    <row r="30" customFormat="false" ht="18.75" hidden="false" customHeight="true" outlineLevel="0" collapsed="false">
      <c r="B30" s="29" t="s">
        <v>46</v>
      </c>
      <c r="C30" s="30" t="n">
        <v>35</v>
      </c>
      <c r="E30" s="28" t="s">
        <v>47</v>
      </c>
    </row>
    <row r="31" customFormat="false" ht="18.75" hidden="false" customHeight="true" outlineLevel="0" collapsed="false">
      <c r="B31" s="29" t="s">
        <v>48</v>
      </c>
      <c r="C31" s="12" t="n">
        <v>70000</v>
      </c>
      <c r="E31" s="28" t="s">
        <v>49</v>
      </c>
    </row>
    <row r="33" customFormat="false" ht="15" hidden="false" customHeight="false" outlineLevel="0" collapsed="false">
      <c r="B33" s="31" t="s">
        <v>50</v>
      </c>
      <c r="C33" s="31"/>
    </row>
  </sheetData>
  <mergeCells count="3">
    <mergeCell ref="B1:C1"/>
    <mergeCell ref="B2:C2"/>
    <mergeCell ref="B33:C33"/>
  </mergeCells>
  <conditionalFormatting sqref="C25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5" min="4" style="0" width="16"/>
  </cols>
  <sheetData>
    <row r="1" customFormat="false" ht="27.75" hidden="false" customHeight="true" outlineLevel="0" collapsed="false">
      <c r="B1" s="32" t="s">
        <v>51</v>
      </c>
      <c r="C1" s="32"/>
      <c r="D1" s="32"/>
      <c r="E1" s="32"/>
    </row>
    <row r="4" customFormat="false" ht="15" hidden="false" customHeight="false" outlineLevel="0" collapsed="false">
      <c r="B4" s="33" t="s">
        <v>52</v>
      </c>
      <c r="C4" s="33" t="s">
        <v>53</v>
      </c>
      <c r="D4" s="33" t="s">
        <v>54</v>
      </c>
      <c r="E4" s="33" t="s">
        <v>55</v>
      </c>
    </row>
    <row r="5" customFormat="false" ht="15" hidden="false" customHeight="false" outlineLevel="0" collapsed="false">
      <c r="B5" s="34" t="s">
        <v>56</v>
      </c>
      <c r="C5" s="35" t="n">
        <v>0</v>
      </c>
      <c r="D5" s="36" t="n">
        <v>39000</v>
      </c>
      <c r="E5" s="36" t="n">
        <v>183500</v>
      </c>
    </row>
    <row r="6" customFormat="false" ht="15" hidden="false" customHeight="false" outlineLevel="0" collapsed="false">
      <c r="B6" s="37" t="s">
        <v>57</v>
      </c>
      <c r="C6" s="38" t="n">
        <v>35</v>
      </c>
      <c r="D6" s="39" t="n">
        <v>135600</v>
      </c>
      <c r="E6" s="39" t="n">
        <v>549600</v>
      </c>
    </row>
    <row r="7" customFormat="false" ht="15" hidden="false" customHeight="false" outlineLevel="0" collapsed="false">
      <c r="B7" s="34" t="s">
        <v>58</v>
      </c>
      <c r="C7" s="35" t="n">
        <v>45</v>
      </c>
      <c r="D7" s="36" t="n">
        <v>247200</v>
      </c>
      <c r="E7" s="36" t="n">
        <v>975800</v>
      </c>
    </row>
    <row r="8" customFormat="false" ht="15" hidden="false" customHeight="false" outlineLevel="0" collapsed="false">
      <c r="B8" s="37" t="s">
        <v>59</v>
      </c>
      <c r="C8" s="38" t="n">
        <v>55</v>
      </c>
      <c r="D8" s="39" t="n">
        <v>364500</v>
      </c>
      <c r="E8" s="39" t="n">
        <v>1566900</v>
      </c>
    </row>
    <row r="9" customFormat="false" ht="15" hidden="false" customHeight="false" outlineLevel="0" collapsed="false">
      <c r="B9" s="34" t="s">
        <v>60</v>
      </c>
      <c r="C9" s="35" t="n">
        <v>65</v>
      </c>
      <c r="D9" s="36" t="n">
        <v>410000</v>
      </c>
      <c r="E9" s="36" t="n">
        <v>1794600</v>
      </c>
    </row>
    <row r="10" customFormat="false" ht="15" hidden="false" customHeight="false" outlineLevel="0" collapsed="false">
      <c r="B10" s="37" t="s">
        <v>61</v>
      </c>
      <c r="C10" s="38" t="n">
        <v>75</v>
      </c>
      <c r="D10" s="39" t="n">
        <v>334700</v>
      </c>
      <c r="E10" s="39" t="n">
        <v>1624100</v>
      </c>
    </row>
    <row r="12" customFormat="false" ht="15" hidden="false" customHeight="false" outlineLevel="0" collapsed="false">
      <c r="B12" s="31" t="s">
        <v>62</v>
      </c>
      <c r="C12" s="31"/>
      <c r="D12" s="31"/>
      <c r="E12" s="31"/>
    </row>
  </sheetData>
  <mergeCells count="2">
    <mergeCell ref="B1:E1"/>
    <mergeCell ref="B12:E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4"/>
    <col collapsed="false" customWidth="true" hidden="false" outlineLevel="0" max="5" min="5" style="0" width="22"/>
    <col collapsed="false" customWidth="true" hidden="false" outlineLevel="0" max="6" min="6" style="0" width="18"/>
    <col collapsed="false" customWidth="true" hidden="false" outlineLevel="0" max="7" min="7" style="0" width="4"/>
  </cols>
  <sheetData>
    <row r="1" customFormat="false" ht="36" hidden="false" customHeight="true" outlineLevel="0" collapsed="false">
      <c r="B1" s="40" t="s">
        <v>63</v>
      </c>
      <c r="C1" s="40"/>
      <c r="D1" s="40"/>
      <c r="E1" s="40"/>
      <c r="F1" s="40"/>
    </row>
    <row r="2" customFormat="false" ht="19.5" hidden="false" customHeight="true" outlineLevel="0" collapsed="false">
      <c r="B2" s="9" t="s">
        <v>64</v>
      </c>
      <c r="C2" s="9"/>
      <c r="D2" s="9"/>
      <c r="E2" s="9"/>
      <c r="F2" s="9"/>
    </row>
    <row r="4" customFormat="false" ht="19.5" hidden="false" customHeight="true" outlineLevel="0" collapsed="false">
      <c r="B4" s="41" t="s">
        <v>65</v>
      </c>
      <c r="C4" s="41"/>
      <c r="D4" s="41"/>
      <c r="E4" s="41"/>
      <c r="F4" s="41"/>
    </row>
    <row r="5" customFormat="false" ht="45.75" hidden="false" customHeight="true" outlineLevel="0" collapsed="false">
      <c r="B5" s="42" t="n">
        <f aca="false">'Net Worth'!C25</f>
        <v>175500</v>
      </c>
      <c r="C5" s="42"/>
      <c r="D5" s="42"/>
      <c r="E5" s="42"/>
      <c r="F5" s="42"/>
    </row>
    <row r="7" customFormat="false" ht="18" hidden="false" customHeight="true" outlineLevel="0" collapsed="false">
      <c r="B7" s="43" t="s">
        <v>66</v>
      </c>
      <c r="D7" s="43" t="s">
        <v>67</v>
      </c>
      <c r="F7" s="44" t="s">
        <v>68</v>
      </c>
    </row>
    <row r="8" customFormat="false" ht="25.5" hidden="false" customHeight="true" outlineLevel="0" collapsed="false">
      <c r="B8" s="45" t="n">
        <f aca="false">'Net Worth'!C26</f>
        <v>51500</v>
      </c>
      <c r="D8" s="45" t="n">
        <f aca="false">'Net Worth'!C27</f>
        <v>55000</v>
      </c>
      <c r="F8" s="46" t="n">
        <f aca="false">'Net Worth'!C28</f>
        <v>0.644016227180527</v>
      </c>
    </row>
    <row r="10" customFormat="false" ht="15" hidden="false" customHeight="false" outlineLevel="0" collapsed="false">
      <c r="B10" s="47" t="s">
        <v>69</v>
      </c>
      <c r="C10" s="48" t="n">
        <f aca="false">'Net Worth'!C12</f>
        <v>493000</v>
      </c>
    </row>
    <row r="11" customFormat="false" ht="15" hidden="false" customHeight="false" outlineLevel="0" collapsed="false">
      <c r="B11" s="49" t="s">
        <v>70</v>
      </c>
      <c r="C11" s="50" t="n">
        <f aca="false">'Net Worth'!C23</f>
        <v>317500</v>
      </c>
    </row>
    <row r="13" customFormat="false" ht="21.75" hidden="false" customHeight="true" outlineLevel="0" collapsed="false">
      <c r="B13" s="51" t="s">
        <v>71</v>
      </c>
      <c r="C13" s="51"/>
      <c r="D13" s="51"/>
      <c r="E13" s="51"/>
      <c r="F13" s="51"/>
    </row>
    <row r="14" customFormat="false" ht="15" hidden="false" customHeight="false" outlineLevel="0" collapsed="false">
      <c r="B14" s="52" t="s">
        <v>72</v>
      </c>
      <c r="C14" s="53" t="n">
        <f aca="false">'Net Worth'!C30</f>
        <v>35</v>
      </c>
    </row>
    <row r="15" customFormat="false" ht="15" hidden="false" customHeight="false" outlineLevel="0" collapsed="false">
      <c r="B15" s="52" t="s">
        <v>73</v>
      </c>
      <c r="C15" s="54" t="n">
        <f aca="false">IF(ISNUMBER('Net Worth'!C30),INDEX('Age Benchmarks'!$D$5:$D$10,IFERROR(MATCH('Net Worth'!C30,'Age Benchmarks'!$C$5:$C$10,1),1)),0)</f>
        <v>135600</v>
      </c>
    </row>
    <row r="16" customFormat="false" ht="15" hidden="false" customHeight="false" outlineLevel="0" collapsed="false">
      <c r="B16" s="55" t="s">
        <v>74</v>
      </c>
      <c r="C16" s="56" t="n">
        <f aca="false">'Net Worth'!C25-C15</f>
        <v>39900</v>
      </c>
    </row>
    <row r="17" customFormat="false" ht="19.5" hidden="false" customHeight="true" outlineLevel="0" collapsed="false">
      <c r="B17" s="57" t="str">
        <f aca="false">IF(C16&gt;=5000,"Ahead of the typical household your age.",IF(C16&lt;=-5000,"Below the median for your age - see the strategies on savingsclub.com.","Right around the median for your age."))</f>
        <v>Ahead of the typical household your age.</v>
      </c>
      <c r="C17" s="57"/>
      <c r="D17" s="57"/>
      <c r="E17" s="57"/>
      <c r="F17" s="57"/>
    </row>
    <row r="19" customFormat="false" ht="15" hidden="false" customHeight="false" outlineLevel="0" collapsed="false">
      <c r="B19" s="55" t="s">
        <v>75</v>
      </c>
      <c r="C19" s="48" t="n">
        <f aca="false">IFERROR('Net Worth'!C30*'Net Worth'!C31/10,0)</f>
        <v>245000</v>
      </c>
      <c r="E19" s="28" t="s">
        <v>76</v>
      </c>
    </row>
  </sheetData>
  <mergeCells count="6">
    <mergeCell ref="B1:F1"/>
    <mergeCell ref="B2:F2"/>
    <mergeCell ref="B4:F4"/>
    <mergeCell ref="B5:F5"/>
    <mergeCell ref="B13:F13"/>
    <mergeCell ref="B17:F17"/>
  </mergeCells>
  <conditionalFormatting sqref="B5">
    <cfRule type="cellIs" priority="2" operator="lessThan" aboveAverage="0" equalAverage="0" bottom="0" percent="0" rank="0" text="" dxfId="2">
      <formula>0</formula>
    </cfRule>
  </conditionalFormatting>
  <conditionalFormatting sqref="C16">
    <cfRule type="cellIs" priority="3" operator="greaterThanOrEqual" aboveAverage="0" equalAverage="0" bottom="0" percent="0" rank="0" text="" dxfId="3">
      <formula>0</formula>
    </cfRule>
    <cfRule type="cellIs" priority="4" operator="lessThan" aboveAverage="0" equalAverage="0" bottom="0" percent="0" rank="0" text="" dxfId="4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5" min="3" style="0" width="18"/>
    <col collapsed="false" customWidth="true" hidden="false" outlineLevel="0" max="6" min="6" style="0" width="16"/>
  </cols>
  <sheetData>
    <row r="1" customFormat="false" ht="30" hidden="false" customHeight="true" outlineLevel="0" collapsed="false">
      <c r="B1" s="58" t="s">
        <v>77</v>
      </c>
      <c r="C1" s="58"/>
      <c r="D1" s="58"/>
      <c r="E1" s="58"/>
      <c r="F1" s="58"/>
    </row>
    <row r="2" customFormat="false" ht="19.5" hidden="false" customHeight="true" outlineLevel="0" collapsed="false">
      <c r="B2" s="59" t="s">
        <v>78</v>
      </c>
      <c r="C2" s="59"/>
      <c r="D2" s="59"/>
      <c r="E2" s="59"/>
      <c r="F2" s="59"/>
    </row>
    <row r="4" customFormat="false" ht="15" hidden="false" customHeight="false" outlineLevel="0" collapsed="false">
      <c r="B4" s="33" t="s">
        <v>79</v>
      </c>
      <c r="C4" s="33" t="s">
        <v>69</v>
      </c>
      <c r="D4" s="33" t="s">
        <v>70</v>
      </c>
      <c r="E4" s="33" t="s">
        <v>80</v>
      </c>
      <c r="F4" s="33" t="s">
        <v>81</v>
      </c>
    </row>
    <row r="5" customFormat="false" ht="15" hidden="false" customHeight="false" outlineLevel="0" collapsed="false">
      <c r="B5" s="60" t="s">
        <v>82</v>
      </c>
      <c r="C5" s="61" t="n">
        <f aca="false">'Net Worth'!C12</f>
        <v>493000</v>
      </c>
      <c r="D5" s="61" t="n">
        <f aca="false">'Net Worth'!C23</f>
        <v>317500</v>
      </c>
      <c r="E5" s="62" t="n">
        <f aca="false">IF(C5="","",C5-D5)</f>
        <v>175500</v>
      </c>
      <c r="F5" s="63"/>
    </row>
    <row r="6" customFormat="false" ht="15" hidden="false" customHeight="false" outlineLevel="0" collapsed="false">
      <c r="B6" s="64" t="s">
        <v>83</v>
      </c>
      <c r="C6" s="65"/>
      <c r="D6" s="65"/>
      <c r="E6" s="66" t="str">
        <f aca="false">IF(C6="","",C6-D6)</f>
        <v/>
      </c>
      <c r="F6" s="67" t="str">
        <f aca="false">IF(OR(E6="",E5=""),"",E6-E5)</f>
        <v/>
      </c>
    </row>
    <row r="7" customFormat="false" ht="15" hidden="false" customHeight="false" outlineLevel="0" collapsed="false">
      <c r="B7" s="60" t="s">
        <v>84</v>
      </c>
      <c r="C7" s="65"/>
      <c r="D7" s="65"/>
      <c r="E7" s="62" t="str">
        <f aca="false">IF(C7="","",C7-D7)</f>
        <v/>
      </c>
      <c r="F7" s="63" t="str">
        <f aca="false">IF(OR(E7="",E6=""),"",E7-E6)</f>
        <v/>
      </c>
    </row>
    <row r="8" customFormat="false" ht="15" hidden="false" customHeight="false" outlineLevel="0" collapsed="false">
      <c r="B8" s="64" t="s">
        <v>85</v>
      </c>
      <c r="C8" s="65"/>
      <c r="D8" s="65"/>
      <c r="E8" s="66" t="str">
        <f aca="false">IF(C8="","",C8-D8)</f>
        <v/>
      </c>
      <c r="F8" s="67" t="str">
        <f aca="false">IF(OR(E8="",E7=""),"",E8-E7)</f>
        <v/>
      </c>
    </row>
    <row r="9" customFormat="false" ht="15" hidden="false" customHeight="false" outlineLevel="0" collapsed="false">
      <c r="B9" s="60" t="s">
        <v>86</v>
      </c>
      <c r="C9" s="65"/>
      <c r="D9" s="65"/>
      <c r="E9" s="62" t="str">
        <f aca="false">IF(C9="","",C9-D9)</f>
        <v/>
      </c>
      <c r="F9" s="63" t="str">
        <f aca="false">IF(OR(E9="",E8=""),"",E9-E8)</f>
        <v/>
      </c>
    </row>
    <row r="10" customFormat="false" ht="15" hidden="false" customHeight="false" outlineLevel="0" collapsed="false">
      <c r="B10" s="64" t="s">
        <v>87</v>
      </c>
      <c r="C10" s="65"/>
      <c r="D10" s="65"/>
      <c r="E10" s="66" t="str">
        <f aca="false">IF(C10="","",C10-D10)</f>
        <v/>
      </c>
      <c r="F10" s="67" t="str">
        <f aca="false">IF(OR(E10="",E9=""),"",E10-E9)</f>
        <v/>
      </c>
    </row>
    <row r="11" customFormat="false" ht="15" hidden="false" customHeight="false" outlineLevel="0" collapsed="false">
      <c r="B11" s="60" t="s">
        <v>88</v>
      </c>
      <c r="C11" s="65"/>
      <c r="D11" s="65"/>
      <c r="E11" s="62" t="str">
        <f aca="false">IF(C11="","",C11-D11)</f>
        <v/>
      </c>
      <c r="F11" s="63" t="str">
        <f aca="false">IF(OR(E11="",E10=""),"",E11-E10)</f>
        <v/>
      </c>
    </row>
    <row r="12" customFormat="false" ht="15" hidden="false" customHeight="false" outlineLevel="0" collapsed="false">
      <c r="B12" s="64" t="s">
        <v>89</v>
      </c>
      <c r="C12" s="65"/>
      <c r="D12" s="65"/>
      <c r="E12" s="66" t="str">
        <f aca="false">IF(C12="","",C12-D12)</f>
        <v/>
      </c>
      <c r="F12" s="67" t="str">
        <f aca="false">IF(OR(E12="",E11=""),"",E12-E11)</f>
        <v/>
      </c>
    </row>
    <row r="13" customFormat="false" ht="15" hidden="false" customHeight="false" outlineLevel="0" collapsed="false">
      <c r="B13" s="60" t="s">
        <v>90</v>
      </c>
      <c r="C13" s="65"/>
      <c r="D13" s="65"/>
      <c r="E13" s="62" t="str">
        <f aca="false">IF(C13="","",C13-D13)</f>
        <v/>
      </c>
      <c r="F13" s="63" t="str">
        <f aca="false">IF(OR(E13="",E12=""),"",E13-E12)</f>
        <v/>
      </c>
    </row>
    <row r="14" customFormat="false" ht="15" hidden="false" customHeight="false" outlineLevel="0" collapsed="false">
      <c r="B14" s="64" t="s">
        <v>91</v>
      </c>
      <c r="C14" s="65"/>
      <c r="D14" s="65"/>
      <c r="E14" s="66" t="str">
        <f aca="false">IF(C14="","",C14-D14)</f>
        <v/>
      </c>
      <c r="F14" s="67" t="str">
        <f aca="false">IF(OR(E14="",E13=""),"",E14-E13)</f>
        <v/>
      </c>
    </row>
    <row r="15" customFormat="false" ht="15" hidden="false" customHeight="false" outlineLevel="0" collapsed="false">
      <c r="B15" s="60" t="s">
        <v>92</v>
      </c>
      <c r="C15" s="65"/>
      <c r="D15" s="65"/>
      <c r="E15" s="62" t="str">
        <f aca="false">IF(C15="","",C15-D15)</f>
        <v/>
      </c>
      <c r="F15" s="63" t="str">
        <f aca="false">IF(OR(E15="",E14=""),"",E15-E14)</f>
        <v/>
      </c>
    </row>
    <row r="16" customFormat="false" ht="15" hidden="false" customHeight="false" outlineLevel="0" collapsed="false">
      <c r="B16" s="64" t="s">
        <v>93</v>
      </c>
      <c r="C16" s="65"/>
      <c r="D16" s="65"/>
      <c r="E16" s="66" t="str">
        <f aca="false">IF(C16="","",C16-D16)</f>
        <v/>
      </c>
      <c r="F16" s="67" t="str">
        <f aca="false">IF(OR(E16="",E15=""),"",E16-E15)</f>
        <v/>
      </c>
    </row>
  </sheetData>
  <mergeCells count="2">
    <mergeCell ref="B1:F1"/>
    <mergeCell ref="B2:F2"/>
  </mergeCells>
  <conditionalFormatting sqref="F5:F16">
    <cfRule type="cellIs" priority="2" operator="greaterThan" aboveAverage="0" equalAverage="0" bottom="0" percent="0" rank="0" text="" dxfId="3">
      <formula>0</formula>
    </cfRule>
    <cfRule type="cellIs" priority="3" operator="lessThan" aboveAverage="0" equalAverage="0" bottom="0" percent="0" rank="0" text="" dxfId="4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2026-07-21T03:03:51Z</dcterms:created>
  <dc:creator>openpyxl</dc:creator>
  <dc:description/>
  <dc:language>en-US</dc:language>
  <cp:lastModifiedBy/>
  <dcterms:modified xsi:type="dcterms:W3CDTF">2026-07-21T03:04:00Z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